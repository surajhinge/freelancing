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vansh\Downloads\zerodha_algo_trading\zerodha_algo_trading\"/>
    </mc:Choice>
  </mc:AlternateContent>
  <xr:revisionPtr revIDLastSave="0" documentId="13_ncr:1_{C61C6844-8C78-4568-9FC8-DBDF1C452B8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29" r:id="rId1"/>
  </sheets>
  <definedNames>
    <definedName name="_xlnm._FilterDatabase" localSheetId="0" hidden="1">Sheet1!$A$1:$AB$254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29" l="1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Q104" i="29"/>
  <c r="R104" i="29"/>
  <c r="Q105" i="29"/>
  <c r="R105" i="29"/>
  <c r="Q106" i="29"/>
  <c r="R106" i="29"/>
  <c r="Q107" i="29"/>
  <c r="R107" i="29"/>
  <c r="Q108" i="29"/>
  <c r="R108" i="29"/>
  <c r="Q109" i="29"/>
  <c r="R109" i="29"/>
  <c r="Q110" i="29"/>
  <c r="R110" i="29"/>
  <c r="Q111" i="29"/>
  <c r="R111" i="29"/>
  <c r="Q112" i="29"/>
  <c r="R112" i="29"/>
  <c r="Q113" i="29"/>
  <c r="R113" i="29"/>
  <c r="Q114" i="29"/>
  <c r="R114" i="29"/>
  <c r="Q115" i="29"/>
  <c r="R115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Q123" i="29"/>
  <c r="R123" i="29"/>
  <c r="Q124" i="29"/>
  <c r="R124" i="29"/>
  <c r="Q125" i="29"/>
  <c r="R125" i="29"/>
  <c r="Q126" i="29"/>
  <c r="R126" i="29"/>
  <c r="Q127" i="29"/>
  <c r="R127" i="29"/>
  <c r="Q128" i="29"/>
  <c r="R128" i="29"/>
  <c r="Q129" i="29"/>
  <c r="R129" i="29"/>
  <c r="Q130" i="29"/>
  <c r="R130" i="29"/>
  <c r="Q131" i="29"/>
  <c r="R131" i="29"/>
  <c r="Q132" i="29"/>
  <c r="R132" i="29"/>
  <c r="Q133" i="29"/>
  <c r="R133" i="29"/>
  <c r="Q134" i="29"/>
  <c r="R134" i="29"/>
  <c r="Q135" i="29"/>
  <c r="R135" i="29"/>
  <c r="Q136" i="29"/>
  <c r="R136" i="29"/>
  <c r="Q137" i="29"/>
  <c r="R137" i="29"/>
  <c r="Q138" i="29"/>
  <c r="R138" i="29"/>
  <c r="Q139" i="29"/>
  <c r="R139" i="29"/>
  <c r="Q140" i="29"/>
  <c r="R140" i="29"/>
  <c r="Q141" i="29"/>
  <c r="R141" i="29"/>
  <c r="Q142" i="29"/>
  <c r="R142" i="29"/>
  <c r="Q143" i="29"/>
  <c r="R143" i="29"/>
  <c r="Q144" i="29"/>
  <c r="R144" i="29"/>
  <c r="Q145" i="29"/>
  <c r="R145" i="29"/>
  <c r="Q146" i="29"/>
  <c r="R146" i="29"/>
  <c r="Q147" i="29"/>
  <c r="R147" i="29"/>
  <c r="Q148" i="29"/>
  <c r="R148" i="29"/>
  <c r="Q149" i="29"/>
  <c r="R149" i="29"/>
  <c r="Q150" i="29"/>
  <c r="R150" i="29"/>
  <c r="Q151" i="29"/>
  <c r="R151" i="29"/>
  <c r="Q152" i="29"/>
  <c r="R152" i="29"/>
  <c r="Q153" i="29"/>
  <c r="R153" i="29"/>
  <c r="Q154" i="29"/>
  <c r="R154" i="29"/>
  <c r="Q155" i="29"/>
  <c r="R155" i="29"/>
  <c r="Q156" i="29"/>
  <c r="R156" i="29"/>
  <c r="Q157" i="29"/>
  <c r="R157" i="29"/>
  <c r="Q158" i="29"/>
  <c r="R158" i="29"/>
  <c r="Q159" i="29"/>
  <c r="R159" i="29"/>
  <c r="Q160" i="29"/>
  <c r="R160" i="29"/>
  <c r="Q161" i="29"/>
  <c r="R161" i="29"/>
  <c r="Q162" i="29"/>
  <c r="R162" i="29"/>
  <c r="Q163" i="29"/>
  <c r="R163" i="29"/>
  <c r="Q164" i="29"/>
  <c r="R164" i="29"/>
  <c r="Q165" i="29"/>
  <c r="R165" i="29"/>
  <c r="Q166" i="29"/>
  <c r="R166" i="29"/>
  <c r="Q167" i="29"/>
  <c r="R167" i="29"/>
  <c r="Q168" i="29"/>
  <c r="R168" i="29"/>
  <c r="Q169" i="29"/>
  <c r="R169" i="29"/>
  <c r="Q170" i="29"/>
  <c r="R170" i="29"/>
  <c r="Q171" i="29"/>
  <c r="R171" i="29"/>
  <c r="Q172" i="29"/>
  <c r="R172" i="29"/>
  <c r="Q173" i="29"/>
  <c r="R173" i="29"/>
  <c r="Q174" i="29"/>
  <c r="R174" i="29"/>
  <c r="Q175" i="29"/>
  <c r="R175" i="29"/>
  <c r="Q176" i="29"/>
  <c r="R176" i="29"/>
  <c r="Q177" i="29"/>
  <c r="R177" i="29"/>
  <c r="Q178" i="29"/>
  <c r="R178" i="29"/>
  <c r="Q179" i="29"/>
  <c r="R179" i="29"/>
  <c r="Q180" i="29"/>
  <c r="R180" i="29"/>
  <c r="Q181" i="29"/>
  <c r="R181" i="29"/>
  <c r="Q182" i="29"/>
  <c r="R182" i="29"/>
  <c r="Q183" i="29"/>
  <c r="R183" i="29"/>
  <c r="Q184" i="29"/>
  <c r="R184" i="29"/>
  <c r="Q185" i="29"/>
  <c r="R185" i="29"/>
  <c r="Q186" i="29"/>
  <c r="R186" i="29"/>
  <c r="Q187" i="29"/>
  <c r="R187" i="29"/>
  <c r="Q188" i="29"/>
  <c r="R188" i="29"/>
  <c r="Q189" i="29"/>
  <c r="R189" i="29"/>
  <c r="Q190" i="29"/>
  <c r="R190" i="29"/>
  <c r="Q191" i="29"/>
  <c r="R191" i="29"/>
  <c r="Q192" i="29"/>
  <c r="R192" i="29"/>
  <c r="Q193" i="29"/>
  <c r="R193" i="29"/>
  <c r="Q194" i="29"/>
  <c r="R194" i="29"/>
  <c r="Q195" i="29"/>
  <c r="R195" i="29"/>
  <c r="Q196" i="29"/>
  <c r="R196" i="29"/>
  <c r="Q197" i="29"/>
  <c r="R197" i="29"/>
  <c r="Q198" i="29"/>
  <c r="R198" i="29"/>
  <c r="Q199" i="29"/>
  <c r="R199" i="29"/>
  <c r="Q200" i="29"/>
  <c r="R200" i="29"/>
  <c r="Q201" i="29"/>
  <c r="R201" i="29"/>
  <c r="Q202" i="29"/>
  <c r="R202" i="29"/>
  <c r="Q203" i="29"/>
  <c r="R203" i="29"/>
  <c r="Q204" i="29"/>
  <c r="R204" i="29"/>
  <c r="Q205" i="29"/>
  <c r="R205" i="29"/>
  <c r="Q206" i="29"/>
  <c r="R206" i="29"/>
  <c r="Q207" i="29"/>
  <c r="R207" i="29"/>
  <c r="Q208" i="29"/>
  <c r="R208" i="29"/>
  <c r="Q209" i="29"/>
  <c r="R209" i="29"/>
  <c r="Q210" i="29"/>
  <c r="R210" i="29"/>
  <c r="Q211" i="29"/>
  <c r="R211" i="29"/>
  <c r="Q212" i="29"/>
  <c r="R212" i="29"/>
  <c r="Q213" i="29"/>
  <c r="R213" i="29"/>
  <c r="Q214" i="29"/>
  <c r="R214" i="29"/>
  <c r="Q215" i="29"/>
  <c r="R215" i="29"/>
  <c r="Q216" i="29"/>
  <c r="R216" i="29"/>
  <c r="Q217" i="29"/>
  <c r="R217" i="29"/>
  <c r="Q218" i="29"/>
  <c r="R218" i="29"/>
  <c r="Q219" i="29"/>
  <c r="R219" i="29"/>
  <c r="Q220" i="29"/>
  <c r="R220" i="29"/>
  <c r="Q221" i="29"/>
  <c r="R221" i="29"/>
  <c r="Q222" i="29"/>
  <c r="R222" i="29"/>
  <c r="Q223" i="29"/>
  <c r="R223" i="29"/>
  <c r="Q224" i="29"/>
  <c r="R224" i="29"/>
  <c r="Q225" i="29"/>
  <c r="R225" i="29"/>
  <c r="Q226" i="29"/>
  <c r="R226" i="29"/>
  <c r="Q227" i="29"/>
  <c r="R227" i="29"/>
  <c r="Q228" i="29"/>
  <c r="R228" i="29"/>
  <c r="Q229" i="29"/>
  <c r="R229" i="29"/>
  <c r="Q230" i="29"/>
  <c r="R230" i="29"/>
  <c r="Q231" i="29"/>
  <c r="R231" i="29"/>
  <c r="Q232" i="29"/>
  <c r="R232" i="29"/>
  <c r="Q233" i="29"/>
  <c r="R233" i="29"/>
  <c r="Q234" i="29"/>
  <c r="R234" i="29"/>
  <c r="Q235" i="29"/>
  <c r="R235" i="29"/>
  <c r="Q236" i="29"/>
  <c r="R236" i="29"/>
  <c r="Q237" i="29"/>
  <c r="R237" i="29"/>
  <c r="Q238" i="29"/>
  <c r="R238" i="29"/>
  <c r="Q239" i="29"/>
  <c r="R239" i="29"/>
  <c r="Q240" i="29"/>
  <c r="R240" i="29"/>
  <c r="Q241" i="29"/>
  <c r="R241" i="29"/>
  <c r="Q242" i="29"/>
  <c r="R242" i="29"/>
  <c r="Q243" i="29"/>
  <c r="R243" i="29"/>
  <c r="Q244" i="29"/>
  <c r="R244" i="29"/>
  <c r="Q245" i="29"/>
  <c r="R245" i="29"/>
  <c r="Q246" i="29"/>
  <c r="R246" i="29"/>
  <c r="Q247" i="29"/>
  <c r="R247" i="29"/>
  <c r="Q248" i="29"/>
  <c r="R248" i="29"/>
  <c r="Q249" i="29"/>
  <c r="R249" i="29"/>
  <c r="Q250" i="29"/>
  <c r="R250" i="29"/>
  <c r="Q251" i="29"/>
  <c r="R251" i="29"/>
  <c r="Q252" i="29"/>
  <c r="R252" i="29"/>
  <c r="Q253" i="29"/>
  <c r="R253" i="29"/>
  <c r="Q254" i="29"/>
  <c r="R25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S38" i="29"/>
  <c r="S39" i="29"/>
  <c r="S40" i="29"/>
  <c r="S41" i="29"/>
  <c r="S42" i="29"/>
  <c r="S43" i="29"/>
  <c r="S44" i="29"/>
  <c r="S45" i="29"/>
  <c r="S46" i="29"/>
  <c r="S47" i="29"/>
  <c r="S48" i="29"/>
  <c r="S49" i="29"/>
  <c r="S50" i="29"/>
  <c r="S51" i="29"/>
  <c r="S52" i="29"/>
  <c r="S53" i="29"/>
  <c r="S54" i="29"/>
  <c r="S55" i="29"/>
  <c r="S56" i="29"/>
  <c r="S57" i="29"/>
  <c r="S58" i="29"/>
  <c r="S59" i="29"/>
  <c r="S60" i="29"/>
  <c r="S61" i="29"/>
  <c r="S62" i="29"/>
  <c r="S63" i="29"/>
  <c r="S64" i="29"/>
  <c r="S65" i="29"/>
  <c r="S66" i="29"/>
  <c r="S67" i="29"/>
  <c r="S68" i="29"/>
  <c r="S69" i="29"/>
  <c r="S70" i="29"/>
  <c r="S71" i="29"/>
  <c r="S72" i="29"/>
  <c r="S73" i="29"/>
  <c r="S74" i="29"/>
  <c r="S75" i="29"/>
  <c r="S76" i="29"/>
  <c r="S77" i="29"/>
  <c r="S78" i="29"/>
  <c r="S79" i="29"/>
  <c r="S80" i="29"/>
  <c r="S81" i="29"/>
  <c r="S82" i="29"/>
  <c r="S83" i="29"/>
  <c r="S84" i="29"/>
  <c r="S85" i="29"/>
  <c r="S86" i="29"/>
  <c r="S87" i="29"/>
  <c r="S88" i="29"/>
  <c r="S89" i="29"/>
  <c r="S90" i="29"/>
  <c r="S91" i="29"/>
  <c r="S92" i="29"/>
  <c r="S93" i="29"/>
  <c r="S94" i="29"/>
  <c r="S95" i="29"/>
  <c r="S96" i="29"/>
  <c r="S97" i="29"/>
  <c r="S98" i="29"/>
  <c r="S99" i="29"/>
  <c r="S100" i="29"/>
  <c r="S101" i="29"/>
  <c r="S102" i="29"/>
  <c r="S103" i="29"/>
  <c r="S104" i="29"/>
  <c r="S105" i="29"/>
  <c r="S106" i="29"/>
  <c r="S107" i="29"/>
  <c r="S108" i="29"/>
  <c r="S109" i="29"/>
  <c r="S110" i="29"/>
  <c r="S111" i="29"/>
  <c r="S112" i="29"/>
  <c r="S113" i="29"/>
  <c r="S114" i="29"/>
  <c r="S115" i="29"/>
  <c r="S116" i="29"/>
  <c r="S117" i="29"/>
  <c r="S118" i="29"/>
  <c r="S119" i="29"/>
  <c r="S120" i="29"/>
  <c r="S121" i="29"/>
  <c r="S122" i="29"/>
  <c r="S123" i="29"/>
  <c r="S124" i="29"/>
  <c r="S125" i="29"/>
  <c r="S126" i="29"/>
  <c r="S127" i="29"/>
  <c r="S128" i="29"/>
  <c r="S129" i="29"/>
  <c r="S130" i="29"/>
  <c r="S131" i="29"/>
  <c r="S132" i="29"/>
  <c r="S133" i="29"/>
  <c r="S134" i="29"/>
  <c r="S135" i="29"/>
  <c r="S136" i="29"/>
  <c r="S137" i="29"/>
  <c r="S138" i="29"/>
  <c r="S139" i="29"/>
  <c r="S140" i="29"/>
  <c r="S141" i="29"/>
  <c r="S142" i="29"/>
  <c r="S143" i="29"/>
  <c r="S144" i="29"/>
  <c r="S145" i="29"/>
  <c r="S146" i="29"/>
  <c r="S147" i="29"/>
  <c r="S148" i="29"/>
  <c r="S149" i="29"/>
  <c r="S150" i="29"/>
  <c r="S151" i="29"/>
  <c r="S152" i="29"/>
  <c r="S153" i="29"/>
  <c r="S154" i="29"/>
  <c r="S155" i="29"/>
  <c r="S156" i="29"/>
  <c r="S157" i="29"/>
  <c r="S158" i="29"/>
  <c r="S159" i="29"/>
  <c r="S160" i="29"/>
  <c r="S161" i="29"/>
  <c r="S162" i="29"/>
  <c r="S163" i="29"/>
  <c r="S164" i="29"/>
  <c r="S165" i="29"/>
  <c r="S166" i="29"/>
  <c r="S167" i="29"/>
  <c r="S168" i="29"/>
  <c r="S169" i="29"/>
  <c r="S170" i="29"/>
  <c r="S171" i="29"/>
  <c r="S172" i="29"/>
  <c r="S173" i="29"/>
  <c r="S174" i="29"/>
  <c r="S175" i="29"/>
  <c r="S176" i="29"/>
  <c r="S177" i="29"/>
  <c r="S178" i="29"/>
  <c r="S179" i="29"/>
  <c r="S180" i="29"/>
  <c r="S181" i="29"/>
  <c r="S182" i="29"/>
  <c r="S183" i="29"/>
  <c r="S184" i="29"/>
  <c r="S185" i="29"/>
  <c r="S186" i="29"/>
  <c r="S187" i="29"/>
  <c r="S188" i="29"/>
  <c r="S189" i="29"/>
  <c r="S190" i="29"/>
  <c r="S191" i="29"/>
  <c r="S192" i="29"/>
  <c r="S193" i="29"/>
  <c r="S194" i="29"/>
  <c r="S195" i="29"/>
  <c r="S196" i="29"/>
  <c r="S197" i="29"/>
  <c r="S198" i="29"/>
  <c r="S199" i="29"/>
  <c r="S200" i="29"/>
  <c r="S201" i="29"/>
  <c r="S202" i="29"/>
  <c r="S203" i="29"/>
  <c r="S204" i="29"/>
  <c r="S205" i="29"/>
  <c r="S206" i="29"/>
  <c r="S207" i="29"/>
  <c r="S208" i="29"/>
  <c r="S209" i="29"/>
  <c r="S210" i="29"/>
  <c r="S211" i="29"/>
  <c r="S212" i="29"/>
  <c r="S213" i="29"/>
  <c r="S214" i="29"/>
  <c r="S215" i="29"/>
  <c r="S216" i="29"/>
  <c r="S217" i="29"/>
  <c r="S218" i="29"/>
  <c r="S219" i="29"/>
  <c r="S220" i="29"/>
  <c r="S221" i="29"/>
  <c r="S222" i="29"/>
  <c r="S223" i="29"/>
  <c r="S224" i="29"/>
  <c r="S225" i="29"/>
  <c r="S226" i="29"/>
  <c r="S227" i="29"/>
  <c r="S228" i="29"/>
  <c r="S229" i="29"/>
  <c r="S230" i="29"/>
  <c r="S231" i="29"/>
  <c r="S232" i="29"/>
  <c r="S233" i="29"/>
  <c r="S234" i="29"/>
  <c r="S235" i="29"/>
  <c r="S236" i="29"/>
  <c r="S237" i="29"/>
  <c r="S238" i="29"/>
  <c r="S239" i="29"/>
  <c r="S240" i="29"/>
  <c r="S241" i="29"/>
  <c r="S242" i="29"/>
  <c r="S243" i="29"/>
  <c r="S244" i="29"/>
  <c r="S245" i="29"/>
  <c r="S246" i="29"/>
  <c r="S247" i="29"/>
  <c r="S248" i="29"/>
  <c r="S249" i="29"/>
  <c r="S250" i="29"/>
  <c r="S4" i="29"/>
  <c r="S5" i="29"/>
  <c r="S6" i="29"/>
  <c r="S7" i="29"/>
  <c r="S8" i="29"/>
  <c r="S9" i="29"/>
  <c r="S10" i="29"/>
  <c r="S11" i="29"/>
  <c r="S12" i="29"/>
  <c r="S13" i="29"/>
  <c r="S14" i="29"/>
  <c r="S251" i="29"/>
  <c r="S252" i="29"/>
  <c r="E209" i="29"/>
  <c r="E210" i="29"/>
  <c r="E211" i="29"/>
  <c r="E212" i="29"/>
  <c r="E213" i="29"/>
  <c r="E214" i="29"/>
  <c r="E215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E147" i="29"/>
  <c r="E148" i="29"/>
  <c r="E149" i="29"/>
  <c r="E150" i="29"/>
  <c r="E151" i="29"/>
  <c r="E152" i="29"/>
  <c r="E153" i="29"/>
  <c r="E154" i="29"/>
  <c r="E155" i="29"/>
  <c r="E156" i="29"/>
  <c r="E157" i="29"/>
  <c r="E158" i="29"/>
  <c r="E159" i="29"/>
  <c r="E160" i="29"/>
  <c r="E161" i="29"/>
  <c r="E162" i="29"/>
  <c r="E163" i="29"/>
  <c r="E164" i="29"/>
  <c r="E165" i="29"/>
  <c r="E166" i="29"/>
  <c r="E167" i="29"/>
  <c r="E168" i="29"/>
  <c r="E169" i="29"/>
  <c r="E170" i="29"/>
  <c r="E171" i="29"/>
  <c r="E172" i="29"/>
  <c r="E173" i="29"/>
  <c r="E174" i="29"/>
  <c r="E175" i="29"/>
  <c r="E176" i="29"/>
  <c r="E177" i="29"/>
  <c r="E178" i="29"/>
  <c r="E179" i="29"/>
  <c r="E180" i="29"/>
  <c r="E181" i="29"/>
  <c r="E182" i="29"/>
  <c r="E183" i="29"/>
  <c r="E184" i="29"/>
  <c r="E185" i="29"/>
  <c r="E186" i="29"/>
  <c r="E187" i="29"/>
  <c r="E188" i="29"/>
  <c r="E189" i="29"/>
  <c r="E190" i="29"/>
  <c r="E191" i="29"/>
  <c r="E192" i="29"/>
  <c r="E193" i="29"/>
  <c r="E194" i="29"/>
  <c r="E195" i="29"/>
  <c r="E196" i="29"/>
  <c r="E197" i="29"/>
  <c r="E198" i="29"/>
  <c r="E199" i="29"/>
  <c r="E200" i="29"/>
  <c r="E201" i="29"/>
  <c r="E202" i="29"/>
  <c r="E203" i="29"/>
  <c r="E204" i="29"/>
  <c r="E205" i="29"/>
  <c r="E206" i="29"/>
  <c r="E207" i="29"/>
  <c r="E208" i="29"/>
  <c r="E4" i="29"/>
  <c r="L164" i="29"/>
  <c r="M164" i="29"/>
  <c r="L165" i="29"/>
  <c r="M165" i="29"/>
  <c r="L166" i="29"/>
  <c r="M166" i="29"/>
  <c r="N166" i="29"/>
  <c r="O166" i="29"/>
  <c r="L167" i="29"/>
  <c r="M167" i="29"/>
  <c r="N167" i="29"/>
  <c r="O167" i="29"/>
  <c r="L168" i="29"/>
  <c r="M168" i="29"/>
  <c r="N168" i="29"/>
  <c r="O168" i="29"/>
  <c r="L169" i="29"/>
  <c r="M169" i="29"/>
  <c r="N169" i="29"/>
  <c r="O169" i="29"/>
  <c r="L170" i="29"/>
  <c r="M170" i="29"/>
  <c r="N170" i="29" s="1"/>
  <c r="O170" i="29" s="1"/>
  <c r="L171" i="29"/>
  <c r="M171" i="29"/>
  <c r="L172" i="29"/>
  <c r="M172" i="29"/>
  <c r="L173" i="29"/>
  <c r="M173" i="29"/>
  <c r="L174" i="29"/>
  <c r="M174" i="29"/>
  <c r="L175" i="29"/>
  <c r="M175" i="29"/>
  <c r="L176" i="29"/>
  <c r="M176" i="29"/>
  <c r="L177" i="29"/>
  <c r="M177" i="29"/>
  <c r="L178" i="29"/>
  <c r="M178" i="29"/>
  <c r="N178" i="29"/>
  <c r="O178" i="29"/>
  <c r="L179" i="29"/>
  <c r="M179" i="29"/>
  <c r="L180" i="29"/>
  <c r="M180" i="29"/>
  <c r="N180" i="29"/>
  <c r="O180" i="29"/>
  <c r="L181" i="29"/>
  <c r="M181" i="29"/>
  <c r="L182" i="29"/>
  <c r="M182" i="29"/>
  <c r="N182" i="29"/>
  <c r="O182" i="29"/>
  <c r="L183" i="29"/>
  <c r="M183" i="29"/>
  <c r="L184" i="29"/>
  <c r="M184" i="29"/>
  <c r="N184" i="29"/>
  <c r="O184" i="29"/>
  <c r="L185" i="29"/>
  <c r="M185" i="29"/>
  <c r="N185" i="29"/>
  <c r="O185" i="29"/>
  <c r="L186" i="29"/>
  <c r="M186" i="29"/>
  <c r="N186" i="29"/>
  <c r="O186" i="29"/>
  <c r="L187" i="29"/>
  <c r="M187" i="29"/>
  <c r="N187" i="29"/>
  <c r="O187" i="29"/>
  <c r="L188" i="29"/>
  <c r="M188" i="29"/>
  <c r="N188" i="29"/>
  <c r="O188" i="29"/>
  <c r="L189" i="29"/>
  <c r="M189" i="29"/>
  <c r="N189" i="29"/>
  <c r="O189" i="29"/>
  <c r="L190" i="29"/>
  <c r="M190" i="29"/>
  <c r="N190" i="29"/>
  <c r="O190" i="29"/>
  <c r="L191" i="29"/>
  <c r="M191" i="29"/>
  <c r="N191" i="29"/>
  <c r="O191" i="29"/>
  <c r="L192" i="29"/>
  <c r="M192" i="29"/>
  <c r="L193" i="29"/>
  <c r="M193" i="29"/>
  <c r="L194" i="29"/>
  <c r="M194" i="29"/>
  <c r="L195" i="29"/>
  <c r="M195" i="29"/>
  <c r="L196" i="29"/>
  <c r="M196" i="29"/>
  <c r="L197" i="29"/>
  <c r="M197" i="29"/>
  <c r="L198" i="29"/>
  <c r="M198" i="29"/>
  <c r="L199" i="29"/>
  <c r="M199" i="29"/>
  <c r="L200" i="29"/>
  <c r="M200" i="29"/>
  <c r="L201" i="29"/>
  <c r="M201" i="29"/>
  <c r="L202" i="29"/>
  <c r="M202" i="29"/>
  <c r="L203" i="29"/>
  <c r="M203" i="29"/>
  <c r="L204" i="29"/>
  <c r="M204" i="29"/>
  <c r="L205" i="29"/>
  <c r="M205" i="29"/>
  <c r="L206" i="29"/>
  <c r="M206" i="29"/>
  <c r="L207" i="29"/>
  <c r="M207" i="29"/>
  <c r="L208" i="29"/>
  <c r="M208" i="29"/>
  <c r="L209" i="29"/>
  <c r="M209" i="29"/>
  <c r="L210" i="29"/>
  <c r="M210" i="29"/>
  <c r="L211" i="29"/>
  <c r="M211" i="29"/>
  <c r="N211" i="29"/>
  <c r="O211" i="29"/>
  <c r="L212" i="29"/>
  <c r="M212" i="29"/>
  <c r="N212" i="29"/>
  <c r="O212" i="29"/>
  <c r="L213" i="29"/>
  <c r="M213" i="29"/>
  <c r="N213" i="29"/>
  <c r="O213" i="29"/>
  <c r="L214" i="29"/>
  <c r="M214" i="29"/>
  <c r="N214" i="29"/>
  <c r="O214" i="29"/>
  <c r="L215" i="29"/>
  <c r="M215" i="29"/>
  <c r="N215" i="29"/>
  <c r="O215" i="29"/>
  <c r="L216" i="29"/>
  <c r="M216" i="29"/>
  <c r="N216" i="29"/>
  <c r="O216" i="29"/>
  <c r="L217" i="29"/>
  <c r="M217" i="29"/>
  <c r="N217" i="29"/>
  <c r="O217" i="29"/>
  <c r="L218" i="29"/>
  <c r="M218" i="29"/>
  <c r="N218" i="29"/>
  <c r="O218" i="29"/>
  <c r="L219" i="29"/>
  <c r="M219" i="29"/>
  <c r="N219" i="29"/>
  <c r="O219" i="29"/>
  <c r="L220" i="29"/>
  <c r="M220" i="29"/>
  <c r="N220" i="29"/>
  <c r="O220" i="29"/>
  <c r="L221" i="29"/>
  <c r="M221" i="29"/>
  <c r="N221" i="29"/>
  <c r="O221" i="29"/>
  <c r="L222" i="29"/>
  <c r="M222" i="29"/>
  <c r="N222" i="29"/>
  <c r="O222" i="29"/>
  <c r="L223" i="29"/>
  <c r="M223" i="29"/>
  <c r="N223" i="29"/>
  <c r="O223" i="29"/>
  <c r="L224" i="29"/>
  <c r="M224" i="29"/>
  <c r="N224" i="29"/>
  <c r="O224" i="29"/>
  <c r="L225" i="29"/>
  <c r="M225" i="29"/>
  <c r="N225" i="29"/>
  <c r="O225" i="29"/>
  <c r="L226" i="29"/>
  <c r="M226" i="29"/>
  <c r="N226" i="29"/>
  <c r="O226" i="29"/>
  <c r="L227" i="29"/>
  <c r="M227" i="29"/>
  <c r="N227" i="29"/>
  <c r="O227" i="29"/>
  <c r="L228" i="29"/>
  <c r="M228" i="29"/>
  <c r="N228" i="29"/>
  <c r="O228" i="29"/>
  <c r="L229" i="29"/>
  <c r="M229" i="29"/>
  <c r="N229" i="29"/>
  <c r="O229" i="29"/>
  <c r="L230" i="29"/>
  <c r="M230" i="29"/>
  <c r="N230" i="29"/>
  <c r="O230" i="29"/>
  <c r="L231" i="29"/>
  <c r="M231" i="29"/>
  <c r="N231" i="29"/>
  <c r="O231" i="29"/>
  <c r="L232" i="29"/>
  <c r="M232" i="29"/>
  <c r="N232" i="29"/>
  <c r="O232" i="29"/>
  <c r="L233" i="29"/>
  <c r="M233" i="29"/>
  <c r="N233" i="29"/>
  <c r="O233" i="29"/>
  <c r="L234" i="29"/>
  <c r="M234" i="29"/>
  <c r="N234" i="29"/>
  <c r="O234" i="29"/>
  <c r="L235" i="29"/>
  <c r="M235" i="29"/>
  <c r="N235" i="29"/>
  <c r="O235" i="29"/>
  <c r="L236" i="29"/>
  <c r="M236" i="29"/>
  <c r="N236" i="29"/>
  <c r="O236" i="29"/>
  <c r="L237" i="29"/>
  <c r="M237" i="29"/>
  <c r="N237" i="29"/>
  <c r="O237" i="29"/>
  <c r="L238" i="29"/>
  <c r="M238" i="29"/>
  <c r="N238" i="29"/>
  <c r="O238" i="29"/>
  <c r="L239" i="29"/>
  <c r="M239" i="29"/>
  <c r="N239" i="29"/>
  <c r="O239" i="29"/>
  <c r="L240" i="29"/>
  <c r="M240" i="29"/>
  <c r="N240" i="29"/>
  <c r="O240" i="29"/>
  <c r="L241" i="29"/>
  <c r="M241" i="29"/>
  <c r="N241" i="29"/>
  <c r="O241" i="29"/>
  <c r="L242" i="29"/>
  <c r="M242" i="29"/>
  <c r="N242" i="29"/>
  <c r="O242" i="29"/>
  <c r="L243" i="29"/>
  <c r="M243" i="29"/>
  <c r="N243" i="29"/>
  <c r="O243" i="29"/>
  <c r="L244" i="29"/>
  <c r="M244" i="29"/>
  <c r="N244" i="29"/>
  <c r="O244" i="29"/>
  <c r="L245" i="29"/>
  <c r="M245" i="29"/>
  <c r="N245" i="29"/>
  <c r="O245" i="29"/>
  <c r="L246" i="29"/>
  <c r="M246" i="29"/>
  <c r="N246" i="29"/>
  <c r="O246" i="29"/>
  <c r="L247" i="29"/>
  <c r="M247" i="29"/>
  <c r="N247" i="29"/>
  <c r="O247" i="29"/>
  <c r="L248" i="29"/>
  <c r="M248" i="29"/>
  <c r="N248" i="29"/>
  <c r="O248" i="29"/>
  <c r="L249" i="29"/>
  <c r="M249" i="29"/>
  <c r="N249" i="29"/>
  <c r="O249" i="29"/>
  <c r="L250" i="29"/>
  <c r="M250" i="29"/>
  <c r="N250" i="29"/>
  <c r="O250" i="29"/>
  <c r="L251" i="29"/>
  <c r="M251" i="29"/>
  <c r="N251" i="29"/>
  <c r="O251" i="29"/>
  <c r="L252" i="29"/>
  <c r="M252" i="29"/>
  <c r="N252" i="29"/>
  <c r="O252" i="29"/>
  <c r="L253" i="29"/>
  <c r="M253" i="29"/>
  <c r="N253" i="29"/>
  <c r="O253" i="29"/>
  <c r="L254" i="29"/>
  <c r="M254" i="29"/>
  <c r="N254" i="29"/>
  <c r="O254" i="29"/>
  <c r="L163" i="29"/>
  <c r="M163" i="29"/>
  <c r="L162" i="29"/>
  <c r="M162" i="29"/>
  <c r="M161" i="29"/>
  <c r="L161" i="29"/>
  <c r="M143" i="29"/>
  <c r="L138" i="29"/>
  <c r="M138" i="29"/>
  <c r="L139" i="29"/>
  <c r="M139" i="29"/>
  <c r="L140" i="29"/>
  <c r="M140" i="29"/>
  <c r="L141" i="29"/>
  <c r="M141" i="29"/>
  <c r="L142" i="29"/>
  <c r="M142" i="29"/>
  <c r="L143" i="29"/>
  <c r="L144" i="29"/>
  <c r="M144" i="29"/>
  <c r="L145" i="29"/>
  <c r="M145" i="29"/>
  <c r="L146" i="29"/>
  <c r="M146" i="29"/>
  <c r="L147" i="29"/>
  <c r="M147" i="29"/>
  <c r="L148" i="29"/>
  <c r="M148" i="29"/>
  <c r="L149" i="29"/>
  <c r="M149" i="29"/>
  <c r="N149" i="29"/>
  <c r="L150" i="29"/>
  <c r="M150" i="29"/>
  <c r="L151" i="29"/>
  <c r="M151" i="29"/>
  <c r="L152" i="29"/>
  <c r="M152" i="29"/>
  <c r="L153" i="29"/>
  <c r="M153" i="29"/>
  <c r="L154" i="29"/>
  <c r="M154" i="29"/>
  <c r="L155" i="29"/>
  <c r="M155" i="29"/>
  <c r="O149" i="29"/>
  <c r="L135" i="29"/>
  <c r="M135" i="29"/>
  <c r="L136" i="29"/>
  <c r="M136" i="29"/>
  <c r="L137" i="29"/>
  <c r="M137" i="29"/>
  <c r="L156" i="29"/>
  <c r="M156" i="29"/>
  <c r="N156" i="29"/>
  <c r="O156" i="29"/>
  <c r="L157" i="29"/>
  <c r="M157" i="29"/>
  <c r="N157" i="29"/>
  <c r="O157" i="29"/>
  <c r="L158" i="29"/>
  <c r="M158" i="29"/>
  <c r="L159" i="29"/>
  <c r="M159" i="29"/>
  <c r="L160" i="29"/>
  <c r="M160" i="29"/>
  <c r="M134" i="29"/>
  <c r="L134" i="29"/>
  <c r="M133" i="29"/>
  <c r="L133" i="29"/>
  <c r="M132" i="29"/>
  <c r="L132" i="29"/>
  <c r="L99" i="29"/>
  <c r="N210" i="29" l="1"/>
  <c r="O210" i="29" s="1"/>
  <c r="N206" i="29"/>
  <c r="O206" i="29" s="1"/>
  <c r="N202" i="29"/>
  <c r="O202" i="29" s="1"/>
  <c r="N194" i="29"/>
  <c r="O194" i="29" s="1"/>
  <c r="N209" i="29"/>
  <c r="O209" i="29" s="1"/>
  <c r="N193" i="29"/>
  <c r="O193" i="29" s="1"/>
  <c r="N196" i="29"/>
  <c r="O196" i="29" s="1"/>
  <c r="N183" i="29"/>
  <c r="O183" i="29" s="1"/>
  <c r="N174" i="29"/>
  <c r="O174" i="29" s="1"/>
  <c r="N208" i="29"/>
  <c r="O208" i="29" s="1"/>
  <c r="N207" i="29"/>
  <c r="O207" i="29" s="1"/>
  <c r="N205" i="29"/>
  <c r="O205" i="29" s="1"/>
  <c r="N204" i="29"/>
  <c r="O204" i="29" s="1"/>
  <c r="N203" i="29"/>
  <c r="O203" i="29" s="1"/>
  <c r="N201" i="29"/>
  <c r="O201" i="29" s="1"/>
  <c r="N198" i="29"/>
  <c r="O198" i="29" s="1"/>
  <c r="N199" i="29"/>
  <c r="O199" i="29" s="1"/>
  <c r="N200" i="29"/>
  <c r="O200" i="29" s="1"/>
  <c r="N197" i="29"/>
  <c r="O197" i="29" s="1"/>
  <c r="N195" i="29"/>
  <c r="O195" i="29" s="1"/>
  <c r="N192" i="29"/>
  <c r="O192" i="29" s="1"/>
  <c r="N164" i="29"/>
  <c r="O164" i="29" s="1"/>
  <c r="N175" i="29"/>
  <c r="O175" i="29" s="1"/>
  <c r="N171" i="29"/>
  <c r="O171" i="29" s="1"/>
  <c r="N179" i="29"/>
  <c r="O179" i="29" s="1"/>
  <c r="N176" i="29"/>
  <c r="O176" i="29" s="1"/>
  <c r="N136" i="29"/>
  <c r="O136" i="29" s="1"/>
  <c r="N153" i="29"/>
  <c r="O153" i="29" s="1"/>
  <c r="N141" i="29"/>
  <c r="O141" i="29" s="1"/>
  <c r="N177" i="29"/>
  <c r="O177" i="29" s="1"/>
  <c r="N163" i="29"/>
  <c r="O163" i="29" s="1"/>
  <c r="N173" i="29"/>
  <c r="O173" i="29" s="1"/>
  <c r="N172" i="29"/>
  <c r="O172" i="29" s="1"/>
  <c r="N139" i="29"/>
  <c r="O139" i="29" s="1"/>
  <c r="N181" i="29"/>
  <c r="O181" i="29" s="1"/>
  <c r="N165" i="29"/>
  <c r="O165" i="29" s="1"/>
  <c r="N152" i="29"/>
  <c r="O152" i="29" s="1"/>
  <c r="N148" i="29"/>
  <c r="O148" i="29" s="1"/>
  <c r="N138" i="29"/>
  <c r="O138" i="29" s="1"/>
  <c r="N160" i="29"/>
  <c r="O160" i="29" s="1"/>
  <c r="N135" i="29"/>
  <c r="O135" i="29" s="1"/>
  <c r="N150" i="29"/>
  <c r="O150" i="29" s="1"/>
  <c r="N137" i="29"/>
  <c r="O137" i="29" s="1"/>
  <c r="N155" i="29"/>
  <c r="O155" i="29" s="1"/>
  <c r="N151" i="29"/>
  <c r="O151" i="29" s="1"/>
  <c r="N158" i="29"/>
  <c r="O158" i="29" s="1"/>
  <c r="N159" i="29"/>
  <c r="O159" i="29" s="1"/>
  <c r="N154" i="29"/>
  <c r="O154" i="29" s="1"/>
  <c r="N144" i="29"/>
  <c r="O144" i="29" s="1"/>
  <c r="N146" i="29"/>
  <c r="O146" i="29" s="1"/>
  <c r="N147" i="29"/>
  <c r="O147" i="29" s="1"/>
  <c r="N145" i="29"/>
  <c r="O145" i="29" s="1"/>
  <c r="N142" i="29"/>
  <c r="O142" i="29" s="1"/>
  <c r="N140" i="29"/>
  <c r="O140" i="29" s="1"/>
  <c r="N143" i="29"/>
  <c r="O143" i="29" s="1"/>
  <c r="L85" i="29"/>
  <c r="M85" i="29"/>
  <c r="L86" i="29"/>
  <c r="M86" i="29"/>
  <c r="L87" i="29"/>
  <c r="M87" i="29"/>
  <c r="L88" i="29"/>
  <c r="M88" i="29"/>
  <c r="L89" i="29"/>
  <c r="M89" i="29"/>
  <c r="L90" i="29"/>
  <c r="M90" i="29"/>
  <c r="L91" i="29"/>
  <c r="M91" i="29"/>
  <c r="L92" i="29"/>
  <c r="M92" i="29"/>
  <c r="L93" i="29"/>
  <c r="M93" i="29"/>
  <c r="L94" i="29"/>
  <c r="M94" i="29"/>
  <c r="L95" i="29"/>
  <c r="M95" i="29"/>
  <c r="L96" i="29"/>
  <c r="M96" i="29"/>
  <c r="L97" i="29"/>
  <c r="M97" i="29"/>
  <c r="L98" i="29"/>
  <c r="M98" i="29"/>
  <c r="L100" i="29"/>
  <c r="M100" i="29"/>
  <c r="L101" i="29"/>
  <c r="M101" i="29"/>
  <c r="L102" i="29"/>
  <c r="M102" i="29"/>
  <c r="L103" i="29"/>
  <c r="M103" i="29"/>
  <c r="L104" i="29"/>
  <c r="M104" i="29"/>
  <c r="L105" i="29"/>
  <c r="M105" i="29"/>
  <c r="L106" i="29"/>
  <c r="M106" i="29"/>
  <c r="L107" i="29"/>
  <c r="M107" i="29"/>
  <c r="L108" i="29"/>
  <c r="M108" i="29"/>
  <c r="L109" i="29"/>
  <c r="M109" i="29"/>
  <c r="L110" i="29"/>
  <c r="M110" i="29"/>
  <c r="L111" i="29"/>
  <c r="M111" i="29"/>
  <c r="L112" i="29"/>
  <c r="M112" i="29"/>
  <c r="L113" i="29"/>
  <c r="M113" i="29"/>
  <c r="L114" i="29"/>
  <c r="M114" i="29"/>
  <c r="L115" i="29"/>
  <c r="M115" i="29"/>
  <c r="L116" i="29"/>
  <c r="M116" i="29"/>
  <c r="L117" i="29"/>
  <c r="M117" i="29"/>
  <c r="L118" i="29"/>
  <c r="M118" i="29"/>
  <c r="L119" i="29"/>
  <c r="M119" i="29"/>
  <c r="L120" i="29"/>
  <c r="M120" i="29"/>
  <c r="L121" i="29"/>
  <c r="M121" i="29"/>
  <c r="L122" i="29"/>
  <c r="M122" i="29"/>
  <c r="L123" i="29"/>
  <c r="M123" i="29"/>
  <c r="L124" i="29"/>
  <c r="M124" i="29"/>
  <c r="L125" i="29"/>
  <c r="M125" i="29"/>
  <c r="L126" i="29"/>
  <c r="M126" i="29"/>
  <c r="L127" i="29"/>
  <c r="M127" i="29"/>
  <c r="L128" i="29"/>
  <c r="M128" i="29"/>
  <c r="L129" i="29"/>
  <c r="M129" i="29"/>
  <c r="L130" i="29"/>
  <c r="M130" i="29"/>
  <c r="L131" i="29"/>
  <c r="M131" i="29"/>
  <c r="N130" i="29" l="1"/>
  <c r="O130" i="29" s="1"/>
  <c r="N114" i="29"/>
  <c r="O114" i="29" s="1"/>
  <c r="N110" i="29"/>
  <c r="O110" i="29" s="1"/>
  <c r="N93" i="29"/>
  <c r="O93" i="29" s="1"/>
  <c r="N85" i="29"/>
  <c r="O85" i="29" s="1"/>
  <c r="N116" i="29"/>
  <c r="O116" i="29" s="1"/>
  <c r="N91" i="29"/>
  <c r="O91" i="29" s="1"/>
  <c r="N94" i="29"/>
  <c r="O94" i="29" s="1"/>
  <c r="N87" i="29"/>
  <c r="O87" i="29" s="1"/>
  <c r="N112" i="29"/>
  <c r="O112" i="29" s="1"/>
  <c r="N108" i="29"/>
  <c r="O108" i="29" s="1"/>
  <c r="N102" i="29"/>
  <c r="N124" i="29"/>
  <c r="O124" i="29" s="1"/>
  <c r="N101" i="29"/>
  <c r="N131" i="29"/>
  <c r="O131" i="29" s="1"/>
  <c r="N111" i="29"/>
  <c r="O111" i="29" s="1"/>
  <c r="N88" i="29"/>
  <c r="O88" i="29" s="1"/>
  <c r="N125" i="29"/>
  <c r="O125" i="29" s="1"/>
  <c r="N86" i="29"/>
  <c r="O86" i="29" s="1"/>
  <c r="N129" i="29"/>
  <c r="O129" i="29" s="1"/>
  <c r="N128" i="29"/>
  <c r="O128" i="29" s="1"/>
  <c r="N127" i="29"/>
  <c r="O127" i="29" s="1"/>
  <c r="N126" i="29"/>
  <c r="O126" i="29" s="1"/>
  <c r="N123" i="29"/>
  <c r="O123" i="29" s="1"/>
  <c r="N121" i="29"/>
  <c r="O121" i="29" s="1"/>
  <c r="N122" i="29"/>
  <c r="O122" i="29" s="1"/>
  <c r="N120" i="29"/>
  <c r="O120" i="29" s="1"/>
  <c r="N119" i="29"/>
  <c r="O119" i="29" s="1"/>
  <c r="N118" i="29"/>
  <c r="O118" i="29" s="1"/>
  <c r="N117" i="29"/>
  <c r="O117" i="29" s="1"/>
  <c r="N115" i="29"/>
  <c r="O115" i="29" s="1"/>
  <c r="N113" i="29"/>
  <c r="O113" i="29" s="1"/>
  <c r="N103" i="29"/>
  <c r="O103" i="29" s="1"/>
  <c r="N106" i="29"/>
  <c r="O106" i="29" s="1"/>
  <c r="N105" i="29"/>
  <c r="O105" i="29" s="1"/>
  <c r="N104" i="29"/>
  <c r="O104" i="29" s="1"/>
  <c r="N109" i="29"/>
  <c r="O109" i="29" s="1"/>
  <c r="N107" i="29"/>
  <c r="O107" i="29" s="1"/>
  <c r="N98" i="29"/>
  <c r="N100" i="29"/>
  <c r="N96" i="29"/>
  <c r="N97" i="29"/>
  <c r="N95" i="29"/>
  <c r="O95" i="29" s="1"/>
  <c r="N92" i="29"/>
  <c r="O92" i="29" s="1"/>
  <c r="N90" i="29"/>
  <c r="O90" i="29" s="1"/>
  <c r="N89" i="29"/>
  <c r="O89" i="29" s="1"/>
  <c r="L66" i="29" l="1"/>
  <c r="M66" i="29"/>
  <c r="L67" i="29"/>
  <c r="M67" i="29"/>
  <c r="L68" i="29"/>
  <c r="M68" i="29"/>
  <c r="L69" i="29"/>
  <c r="M69" i="29"/>
  <c r="L70" i="29"/>
  <c r="M70" i="29"/>
  <c r="L71" i="29"/>
  <c r="M71" i="29"/>
  <c r="L72" i="29"/>
  <c r="M72" i="29"/>
  <c r="L73" i="29"/>
  <c r="M73" i="29"/>
  <c r="L74" i="29"/>
  <c r="M74" i="29"/>
  <c r="L75" i="29"/>
  <c r="M75" i="29"/>
  <c r="L76" i="29"/>
  <c r="M76" i="29"/>
  <c r="L77" i="29"/>
  <c r="M77" i="29"/>
  <c r="L78" i="29"/>
  <c r="M78" i="29"/>
  <c r="L79" i="29"/>
  <c r="M79" i="29"/>
  <c r="L80" i="29"/>
  <c r="M80" i="29"/>
  <c r="L81" i="29"/>
  <c r="M81" i="29"/>
  <c r="L82" i="29"/>
  <c r="M82" i="29"/>
  <c r="L83" i="29"/>
  <c r="M83" i="29"/>
  <c r="L84" i="29"/>
  <c r="M84" i="29"/>
  <c r="N84" i="29" l="1"/>
  <c r="O84" i="29" s="1"/>
  <c r="N76" i="29"/>
  <c r="O76" i="29" s="1"/>
  <c r="N72" i="29"/>
  <c r="O72" i="29" s="1"/>
  <c r="N79" i="29"/>
  <c r="O79" i="29" s="1"/>
  <c r="N75" i="29"/>
  <c r="O75" i="29" s="1"/>
  <c r="N67" i="29"/>
  <c r="O67" i="29" s="1"/>
  <c r="N68" i="29"/>
  <c r="O68" i="29" s="1"/>
  <c r="N66" i="29"/>
  <c r="O66" i="29" s="1"/>
  <c r="N82" i="29"/>
  <c r="O82" i="29" s="1"/>
  <c r="N81" i="29"/>
  <c r="O81" i="29" s="1"/>
  <c r="N77" i="29"/>
  <c r="O77" i="29" s="1"/>
  <c r="N78" i="29"/>
  <c r="O78" i="29" s="1"/>
  <c r="N74" i="29"/>
  <c r="O74" i="29" s="1"/>
  <c r="N83" i="29"/>
  <c r="O83" i="29" s="1"/>
  <c r="N80" i="29"/>
  <c r="O80" i="29" s="1"/>
  <c r="N73" i="29"/>
  <c r="O73" i="29" s="1"/>
  <c r="N71" i="29"/>
  <c r="O71" i="29" s="1"/>
  <c r="N70" i="29"/>
  <c r="O70" i="29" s="1"/>
  <c r="N69" i="29"/>
  <c r="O69" i="29" s="1"/>
  <c r="O96" i="29"/>
  <c r="O97" i="29"/>
  <c r="O98" i="29"/>
  <c r="O100" i="29"/>
  <c r="O101" i="29"/>
  <c r="O102" i="29"/>
  <c r="O32" i="29"/>
  <c r="L30" i="29"/>
  <c r="M30" i="29"/>
  <c r="L31" i="29"/>
  <c r="M31" i="29"/>
  <c r="L32" i="29"/>
  <c r="M32" i="29"/>
  <c r="N32" i="29"/>
  <c r="L33" i="29"/>
  <c r="M33" i="29"/>
  <c r="L34" i="29"/>
  <c r="M34" i="29"/>
  <c r="L35" i="29"/>
  <c r="M35" i="29"/>
  <c r="L36" i="29"/>
  <c r="M36" i="29"/>
  <c r="L37" i="29"/>
  <c r="M37" i="29"/>
  <c r="L38" i="29"/>
  <c r="M38" i="29"/>
  <c r="L39" i="29"/>
  <c r="M39" i="29"/>
  <c r="L40" i="29"/>
  <c r="M40" i="29"/>
  <c r="L41" i="29"/>
  <c r="M41" i="29"/>
  <c r="L42" i="29"/>
  <c r="M42" i="29"/>
  <c r="L43" i="29"/>
  <c r="M43" i="29"/>
  <c r="L44" i="29"/>
  <c r="M44" i="29"/>
  <c r="L48" i="29"/>
  <c r="M48" i="29"/>
  <c r="L49" i="29"/>
  <c r="M49" i="29"/>
  <c r="L50" i="29"/>
  <c r="M50" i="29"/>
  <c r="L51" i="29"/>
  <c r="M51" i="29"/>
  <c r="L52" i="29"/>
  <c r="M52" i="29"/>
  <c r="L53" i="29"/>
  <c r="M53" i="29"/>
  <c r="L54" i="29"/>
  <c r="M54" i="29"/>
  <c r="L55" i="29"/>
  <c r="M55" i="29"/>
  <c r="L56" i="29"/>
  <c r="M56" i="29"/>
  <c r="L57" i="29"/>
  <c r="M57" i="29"/>
  <c r="L58" i="29"/>
  <c r="M58" i="29"/>
  <c r="L59" i="29"/>
  <c r="M59" i="29"/>
  <c r="L60" i="29"/>
  <c r="M60" i="29"/>
  <c r="L61" i="29"/>
  <c r="M61" i="29"/>
  <c r="L62" i="29"/>
  <c r="M62" i="29"/>
  <c r="L63" i="29"/>
  <c r="M63" i="29"/>
  <c r="L64" i="29"/>
  <c r="M64" i="29"/>
  <c r="L65" i="29"/>
  <c r="M65" i="29"/>
  <c r="L28" i="29"/>
  <c r="M28" i="29"/>
  <c r="L29" i="29"/>
  <c r="M29" i="29"/>
  <c r="N162" i="29"/>
  <c r="O162" i="29" s="1"/>
  <c r="N161" i="29"/>
  <c r="O161" i="29" s="1"/>
  <c r="N134" i="29"/>
  <c r="O134" i="29" s="1"/>
  <c r="N133" i="29"/>
  <c r="O133" i="29" s="1"/>
  <c r="N132" i="29"/>
  <c r="O132" i="29" s="1"/>
  <c r="M27" i="29"/>
  <c r="L27" i="29"/>
  <c r="M26" i="29"/>
  <c r="L26" i="29"/>
  <c r="M25" i="29"/>
  <c r="L25" i="29"/>
  <c r="M24" i="29"/>
  <c r="L24" i="29"/>
  <c r="M23" i="29"/>
  <c r="L23" i="29"/>
  <c r="M22" i="29"/>
  <c r="L22" i="29"/>
  <c r="M21" i="29"/>
  <c r="L21" i="29"/>
  <c r="M20" i="29"/>
  <c r="L20" i="29"/>
  <c r="M19" i="29"/>
  <c r="L19" i="29"/>
  <c r="M18" i="29"/>
  <c r="L18" i="29"/>
  <c r="M17" i="29"/>
  <c r="L17" i="29"/>
  <c r="M16" i="29"/>
  <c r="L16" i="29"/>
  <c r="M15" i="29"/>
  <c r="L15" i="29"/>
  <c r="M14" i="29"/>
  <c r="N14" i="29" s="1"/>
  <c r="O14" i="29" s="1"/>
  <c r="L14" i="29"/>
  <c r="M13" i="29"/>
  <c r="L13" i="29"/>
  <c r="M12" i="29"/>
  <c r="L12" i="29"/>
  <c r="M11" i="29"/>
  <c r="L11" i="29"/>
  <c r="M10" i="29"/>
  <c r="L10" i="29"/>
  <c r="M9" i="29"/>
  <c r="L9" i="29"/>
  <c r="M8" i="29"/>
  <c r="L8" i="29"/>
  <c r="M7" i="29"/>
  <c r="L7" i="29"/>
  <c r="M6" i="29"/>
  <c r="L6" i="29"/>
  <c r="M5" i="29"/>
  <c r="L5" i="29"/>
  <c r="M4" i="29"/>
  <c r="L4" i="29"/>
  <c r="Q14" i="29" l="1"/>
  <c r="R14" i="29"/>
  <c r="N43" i="29"/>
  <c r="O43" i="29" s="1"/>
  <c r="N58" i="29"/>
  <c r="O58" i="29" s="1"/>
  <c r="N50" i="29"/>
  <c r="O50" i="29" s="1"/>
  <c r="N40" i="29"/>
  <c r="O40" i="29" s="1"/>
  <c r="N42" i="29"/>
  <c r="O42" i="29" s="1"/>
  <c r="N41" i="29"/>
  <c r="O41" i="29" s="1"/>
  <c r="N59" i="29"/>
  <c r="O59" i="29" s="1"/>
  <c r="N51" i="29"/>
  <c r="O51" i="29" s="1"/>
  <c r="N44" i="29"/>
  <c r="O44" i="29" s="1"/>
  <c r="N10" i="29"/>
  <c r="O10" i="29" s="1"/>
  <c r="N16" i="29"/>
  <c r="O16" i="29" s="1"/>
  <c r="N20" i="29"/>
  <c r="O20" i="29" s="1"/>
  <c r="N24" i="29"/>
  <c r="O24" i="29" s="1"/>
  <c r="N17" i="29"/>
  <c r="O17" i="29" s="1"/>
  <c r="N25" i="29"/>
  <c r="O25" i="29" s="1"/>
  <c r="N49" i="29"/>
  <c r="O49" i="29" s="1"/>
  <c r="N8" i="29"/>
  <c r="O8" i="29" s="1"/>
  <c r="N21" i="29"/>
  <c r="O21" i="29" s="1"/>
  <c r="N11" i="29"/>
  <c r="O11" i="29" s="1"/>
  <c r="N56" i="29"/>
  <c r="O56" i="29" s="1"/>
  <c r="N48" i="29"/>
  <c r="O48" i="29" s="1"/>
  <c r="N38" i="29"/>
  <c r="O38" i="29" s="1"/>
  <c r="N34" i="29"/>
  <c r="O34" i="29" s="1"/>
  <c r="N15" i="29"/>
  <c r="O15" i="29" s="1"/>
  <c r="N23" i="29"/>
  <c r="O23" i="29" s="1"/>
  <c r="N7" i="29"/>
  <c r="O7" i="29" s="1"/>
  <c r="N13" i="29"/>
  <c r="O13" i="29" s="1"/>
  <c r="N62" i="29"/>
  <c r="O62" i="29" s="1"/>
  <c r="N55" i="29"/>
  <c r="N12" i="29"/>
  <c r="O12" i="29" s="1"/>
  <c r="N18" i="29"/>
  <c r="O18" i="29" s="1"/>
  <c r="N22" i="29"/>
  <c r="O22" i="29" s="1"/>
  <c r="N5" i="29"/>
  <c r="O5" i="29" s="1"/>
  <c r="N65" i="29"/>
  <c r="O65" i="29" s="1"/>
  <c r="N61" i="29"/>
  <c r="O61" i="29" s="1"/>
  <c r="N6" i="29"/>
  <c r="O6" i="29" s="1"/>
  <c r="N26" i="29"/>
  <c r="O26" i="29" s="1"/>
  <c r="N9" i="29"/>
  <c r="O9" i="29" s="1"/>
  <c r="N19" i="29"/>
  <c r="O19" i="29" s="1"/>
  <c r="N57" i="29"/>
  <c r="O57" i="29" s="1"/>
  <c r="N53" i="29"/>
  <c r="O53" i="29" s="1"/>
  <c r="N63" i="29"/>
  <c r="O63" i="29" s="1"/>
  <c r="N64" i="29"/>
  <c r="O64" i="29" s="1"/>
  <c r="N60" i="29"/>
  <c r="O60" i="29" s="1"/>
  <c r="N54" i="29"/>
  <c r="O54" i="29" s="1"/>
  <c r="N52" i="29"/>
  <c r="O52" i="29" s="1"/>
  <c r="N39" i="29"/>
  <c r="O39" i="29" s="1"/>
  <c r="N35" i="29"/>
  <c r="O35" i="29" s="1"/>
  <c r="N28" i="29"/>
  <c r="N36" i="29"/>
  <c r="O36" i="29" s="1"/>
  <c r="N31" i="29"/>
  <c r="O31" i="29" s="1"/>
  <c r="N33" i="29"/>
  <c r="O33" i="29" s="1"/>
  <c r="N29" i="29"/>
  <c r="O29" i="29" s="1"/>
  <c r="N37" i="29"/>
  <c r="O37" i="29" s="1"/>
  <c r="N30" i="29"/>
  <c r="O30" i="29" s="1"/>
  <c r="O28" i="29"/>
  <c r="N27" i="29"/>
  <c r="O27" i="29" s="1"/>
  <c r="N4" i="29"/>
  <c r="O4" i="29" s="1"/>
  <c r="R4" i="29" s="1"/>
  <c r="O55" i="29" l="1"/>
  <c r="Q4" i="29"/>
</calcChain>
</file>

<file path=xl/sharedStrings.xml><?xml version="1.0" encoding="utf-8"?>
<sst xmlns="http://schemas.openxmlformats.org/spreadsheetml/2006/main" count="527" uniqueCount="261">
  <si>
    <t>Total --&gt;</t>
  </si>
  <si>
    <t>Date</t>
  </si>
  <si>
    <t>CallNo</t>
  </si>
  <si>
    <t>Type</t>
  </si>
  <si>
    <t>Time</t>
  </si>
  <si>
    <t>Strike price</t>
  </si>
  <si>
    <t>LotSize</t>
  </si>
  <si>
    <t>Buy</t>
  </si>
  <si>
    <t>Sold</t>
  </si>
  <si>
    <t>SL.</t>
  </si>
  <si>
    <t xml:space="preserve"> capital </t>
  </si>
  <si>
    <t xml:space="preserve"> Exit capital </t>
  </si>
  <si>
    <t>%Return</t>
  </si>
  <si>
    <t>Message on Screenshot</t>
  </si>
  <si>
    <t>Final Message</t>
  </si>
  <si>
    <t>Tags</t>
  </si>
  <si>
    <t>ATH Date</t>
  </si>
  <si>
    <t>Exit Price</t>
  </si>
  <si>
    <t>Profit_x000D_
(if not exited then)</t>
  </si>
  <si>
    <t>Profit %</t>
  </si>
  <si>
    <t>02</t>
  </si>
  <si>
    <t>Overnight</t>
  </si>
  <si>
    <t>10</t>
  </si>
  <si>
    <t>01</t>
  </si>
  <si>
    <t>03</t>
  </si>
  <si>
    <t>04</t>
  </si>
  <si>
    <t>05</t>
  </si>
  <si>
    <t>06</t>
  </si>
  <si>
    <t>2 Days</t>
  </si>
  <si>
    <t>07</t>
  </si>
  <si>
    <t>09</t>
  </si>
  <si>
    <t>08</t>
  </si>
  <si>
    <t>5 min</t>
  </si>
  <si>
    <t>2 hours</t>
  </si>
  <si>
    <t>SBICARD</t>
  </si>
  <si>
    <t>FEDERALBNK</t>
  </si>
  <si>
    <t>1 hour</t>
  </si>
  <si>
    <t>50 min</t>
  </si>
  <si>
    <t>6 min</t>
  </si>
  <si>
    <t>10 min</t>
  </si>
  <si>
    <t>1 day</t>
  </si>
  <si>
    <t>6 hours</t>
  </si>
  <si>
    <t>3 hours</t>
  </si>
  <si>
    <t>5 hours</t>
  </si>
  <si>
    <t>2.5 hours</t>
  </si>
  <si>
    <t>40 min</t>
  </si>
  <si>
    <t>30 min</t>
  </si>
  <si>
    <t>12 min</t>
  </si>
  <si>
    <t>90 min</t>
  </si>
  <si>
    <t>15 min</t>
  </si>
  <si>
    <t>IDFCFIRSTB</t>
  </si>
  <si>
    <t>9 min</t>
  </si>
  <si>
    <t>overnight</t>
  </si>
  <si>
    <t>3 days</t>
  </si>
  <si>
    <t>45 min</t>
  </si>
  <si>
    <t>66 min</t>
  </si>
  <si>
    <t>75 min</t>
  </si>
  <si>
    <t>25 min</t>
  </si>
  <si>
    <t>20 min</t>
  </si>
  <si>
    <t>98 min</t>
  </si>
  <si>
    <t>113 min</t>
  </si>
  <si>
    <t>121 min</t>
  </si>
  <si>
    <t>127 min</t>
  </si>
  <si>
    <t>144 min</t>
  </si>
  <si>
    <t>13 min</t>
  </si>
  <si>
    <t>16 min</t>
  </si>
  <si>
    <t>17 min</t>
  </si>
  <si>
    <t>18 min</t>
  </si>
  <si>
    <t>28 min</t>
  </si>
  <si>
    <t>37 min</t>
  </si>
  <si>
    <t>230 min</t>
  </si>
  <si>
    <t>244 min</t>
  </si>
  <si>
    <t>SBIN</t>
  </si>
  <si>
    <t>ADANIPORTS</t>
  </si>
  <si>
    <t>DLF</t>
  </si>
  <si>
    <t>BSE</t>
  </si>
  <si>
    <t>Row NO</t>
  </si>
  <si>
    <t>INDHOTEL</t>
  </si>
  <si>
    <t>4 DAYS</t>
  </si>
  <si>
    <t>AMBUJACEM</t>
  </si>
  <si>
    <t>MCX</t>
  </si>
  <si>
    <t>IGL</t>
  </si>
  <si>
    <t>LTF</t>
  </si>
  <si>
    <t>DELHIVERY</t>
  </si>
  <si>
    <t>igl</t>
  </si>
  <si>
    <t>BIOCON</t>
  </si>
  <si>
    <t>ADANIENSOL</t>
  </si>
  <si>
    <t>7 min</t>
  </si>
  <si>
    <t>8 min</t>
  </si>
  <si>
    <t>KOTAKBANK</t>
  </si>
  <si>
    <t>HINDALCO</t>
  </si>
  <si>
    <t>4 min</t>
  </si>
  <si>
    <t>RECLTD</t>
  </si>
  <si>
    <t>MAZDOCK</t>
  </si>
  <si>
    <t>INDHOTEL26FEB750CE</t>
  </si>
  <si>
    <t>BEL26FEB430CE</t>
  </si>
  <si>
    <t>HDFCBANK26FEB900CE</t>
  </si>
  <si>
    <t>POLICYBZR26FEB1720CE</t>
  </si>
  <si>
    <t>HEROMOTOCO26FEB5350PE</t>
  </si>
  <si>
    <t>RECLTD26FEB370CE</t>
  </si>
  <si>
    <t>PERSISTENT26FEB6400CE</t>
  </si>
  <si>
    <t>JSWSTEEL26FEB1250CE</t>
  </si>
  <si>
    <t>ADANIENT26FEB2080CE</t>
  </si>
  <si>
    <t>GLENMARK26FEB2100CE</t>
  </si>
  <si>
    <t>HAL26FEB4800CE</t>
  </si>
  <si>
    <t>PETRONET26FEB300CE</t>
  </si>
  <si>
    <t>SENSEX26JAN81500CE</t>
  </si>
  <si>
    <t>INDHOTEL26FEB670CE@22.1</t>
  </si>
  <si>
    <t>ADANIENT26FEB2100CE@66.4</t>
  </si>
  <si>
    <t>HAL26FEB4850CE</t>
  </si>
  <si>
    <t>ONGC26FEB272CE</t>
  </si>
  <si>
    <t>BEL26FEB475CE</t>
  </si>
  <si>
    <t>22 MIN</t>
  </si>
  <si>
    <t>SONACOMS26FEB510CE</t>
  </si>
  <si>
    <t>NIFTY2620325500CE</t>
  </si>
  <si>
    <t>BRITANNIA26FEB5750PE</t>
  </si>
  <si>
    <t>LTIM26FEB6150CE</t>
  </si>
  <si>
    <t>WIPRO26FEB245CE</t>
  </si>
  <si>
    <t>NIFTY2620325000PE</t>
  </si>
  <si>
    <t>NIFTY2620324500CE</t>
  </si>
  <si>
    <t>NIFTY2620324900PE</t>
  </si>
  <si>
    <t>NIFTY2620325800PE</t>
  </si>
  <si>
    <t>ADANIENT26FEB2160PE</t>
  </si>
  <si>
    <t>ADANIPORTS26FEB1580CE</t>
  </si>
  <si>
    <t>IEX26FEB128CE</t>
  </si>
  <si>
    <t>PAGEIND26FEB34000CE</t>
  </si>
  <si>
    <t>3:!9</t>
  </si>
  <si>
    <t>SENSEX2620584300PE</t>
  </si>
  <si>
    <t>LUPIN26FEB2220CE</t>
  </si>
  <si>
    <t>NBCC26FEB105CE</t>
  </si>
  <si>
    <t>SBIN26FEB1080CE</t>
  </si>
  <si>
    <t>PETRONET26FEB295CE</t>
  </si>
  <si>
    <t>EXIDEIND26FEB335CE</t>
  </si>
  <si>
    <t>TRENT26FEB4100CE</t>
  </si>
  <si>
    <t>IEX26FEB124CE</t>
  </si>
  <si>
    <t>CIPLA26FEB1310CE</t>
  </si>
  <si>
    <t>TITAN26FEB4300CE</t>
  </si>
  <si>
    <t>CIPLA26FEB1350CE</t>
  </si>
  <si>
    <t>IEX26FEB125CE</t>
  </si>
  <si>
    <t>NAUKRI26FEB1180CE</t>
  </si>
  <si>
    <t>M&amp;M26FEB3700CE</t>
  </si>
  <si>
    <t>TCS26FEB3000PE</t>
  </si>
  <si>
    <t>NESTLEIND26FEB1300CE</t>
  </si>
  <si>
    <t>BHARATFORG26FEB1740CE</t>
  </si>
  <si>
    <t>ONGC26FEB270CE</t>
  </si>
  <si>
    <t>INFY26FEB1500PE</t>
  </si>
  <si>
    <t>BHARATFORG</t>
  </si>
  <si>
    <t>OFSS26FEB7000PE</t>
  </si>
  <si>
    <t>DRREDDY26FEB1260CE</t>
  </si>
  <si>
    <t>BANKNIFTY26FEB60700PE</t>
  </si>
  <si>
    <t>BEL26FEB440CE</t>
  </si>
  <si>
    <t>M&amp;M26FEB3600PE</t>
  </si>
  <si>
    <t>HINDPETRO26FEB450CE@9.6</t>
  </si>
  <si>
    <t>NIFTY2620325200CE@291.3</t>
  </si>
  <si>
    <t>POWERINDIA26FEB20500CE@371.25</t>
  </si>
  <si>
    <t>NIFTY2620325500CE/@138.8</t>
  </si>
  <si>
    <t>NESTLEIND26FEB1330CE@38</t>
  </si>
  <si>
    <t>CAMS26FEB740PE</t>
  </si>
  <si>
    <t>TATATECH26FEB610PE</t>
  </si>
  <si>
    <t>BAJFINANCE26FEB1020CE</t>
  </si>
  <si>
    <t>TATASTEEL26FEB200PE</t>
  </si>
  <si>
    <t>RELIANCE26FEB1450PE</t>
  </si>
  <si>
    <t>POWERINDIA26FEB23500CE</t>
  </si>
  <si>
    <t>INFY26FEB1360CE</t>
  </si>
  <si>
    <t>HAL26FEB4200CE</t>
  </si>
  <si>
    <t>SHRIRAMFIN26FEB1080CE</t>
  </si>
  <si>
    <t>Powergrid</t>
  </si>
  <si>
    <t>CANBK26FEB146CE</t>
  </si>
  <si>
    <t>TCS26FEB2800PE</t>
  </si>
  <si>
    <t>JSWSTEEL26FEB1260CE</t>
  </si>
  <si>
    <t>LUPIN26FEB2240PE</t>
  </si>
  <si>
    <t>AUROPHARMA26FEB1150PE</t>
  </si>
  <si>
    <t>INFY</t>
  </si>
  <si>
    <t>POWERGRID26FEB292.5CE</t>
  </si>
  <si>
    <t>POWERGRID26FEB300CE</t>
  </si>
  <si>
    <t>POWERGRID26FEB290CE</t>
  </si>
  <si>
    <t>ITC26MAR340PE</t>
  </si>
  <si>
    <t>ITC26FEB330PE</t>
  </si>
  <si>
    <t>AMBUJACEM26FEB530CE</t>
  </si>
  <si>
    <t>SRF26MAR2700PE</t>
  </si>
  <si>
    <t>POWERGRID26MAR300PE</t>
  </si>
  <si>
    <t>HDFCLIFE26FEB730CE</t>
  </si>
  <si>
    <t>IRFC26FEB111PE</t>
  </si>
  <si>
    <t>IRFC26MAR110PE</t>
  </si>
  <si>
    <t>HCLTECH26MAR1440PE</t>
  </si>
  <si>
    <t>6 hous</t>
  </si>
  <si>
    <t>PETRONET26FEB305CE</t>
  </si>
  <si>
    <t>LT26FEB4340CE</t>
  </si>
  <si>
    <t>LT26MAR4320CE</t>
  </si>
  <si>
    <t>SBIN26FEB1230CE</t>
  </si>
  <si>
    <t>SBIN26MAR1260CE</t>
  </si>
  <si>
    <t>INFY26MAR1320PE</t>
  </si>
  <si>
    <t>BAJFINANCE26MAR1030PE</t>
  </si>
  <si>
    <t>POLYCAB26MAR8500CE</t>
  </si>
  <si>
    <t>COFORGE26MAR1200PE</t>
  </si>
  <si>
    <t>NIFTY26FEB25500PE</t>
  </si>
  <si>
    <t>POWERGRID26MAR310CE</t>
  </si>
  <si>
    <t>3 min</t>
  </si>
  <si>
    <t>DIXON26MAR10400PE</t>
  </si>
  <si>
    <t>COALINDIA26MAR430CE</t>
  </si>
  <si>
    <t>TATASTEEL26MAR224CE</t>
  </si>
  <si>
    <t>DRREDDY26MAR1330CE</t>
  </si>
  <si>
    <t>NMDC26MAR84CE</t>
  </si>
  <si>
    <t>MARUTI26MAR15100CE</t>
  </si>
  <si>
    <t>PAGEIND26MAR33000PE</t>
  </si>
  <si>
    <t>SAIL26MAR175CE</t>
  </si>
  <si>
    <t>SHRIRAMFIN26MAR1140CE</t>
  </si>
  <si>
    <t>HDFCLIFE26MAR740PE</t>
  </si>
  <si>
    <t>NIFTY2630225300PE</t>
  </si>
  <si>
    <t>NMDC26MAR83CE</t>
  </si>
  <si>
    <t>INFY26MAR1300PE</t>
  </si>
  <si>
    <t>SBICARD26MAR780CE</t>
  </si>
  <si>
    <t>BEL26MAR455CE</t>
  </si>
  <si>
    <t>MCX26MAR2800CE</t>
  </si>
  <si>
    <t>MCX26MAR2720CE</t>
  </si>
  <si>
    <t>INDIGO26MAR4150PE</t>
  </si>
  <si>
    <t>NIFTY2631024300PE</t>
  </si>
  <si>
    <t>PETRONET26MAR275PE</t>
  </si>
  <si>
    <t>93</t>
  </si>
  <si>
    <t>NATIONALUM26MAR420CE</t>
  </si>
  <si>
    <t>NMDC26MAR82CE</t>
  </si>
  <si>
    <t>MANKIND26MAR2200CE</t>
  </si>
  <si>
    <t>POWERGRID26MAR305PE</t>
  </si>
  <si>
    <t>ULTRACEMCO26MAR12000PE</t>
  </si>
  <si>
    <t>NIFTY2631023700PE</t>
  </si>
  <si>
    <t>MCX26MAR2820CE</t>
  </si>
  <si>
    <t>DMART26MAR3850CE</t>
  </si>
  <si>
    <t>NIFTY2631023800PE</t>
  </si>
  <si>
    <t>NIFTY2631024000CE</t>
  </si>
  <si>
    <t>COFORGE26MAR1140PE</t>
  </si>
  <si>
    <t>MCX26MAR2840CE</t>
  </si>
  <si>
    <t>TATACONSUM26MAR1100PE</t>
  </si>
  <si>
    <t>CUMMINSIND26MAR4950CE</t>
  </si>
  <si>
    <t>EICHERMOT26MAR7600CE</t>
  </si>
  <si>
    <t>JUBLFOOD26MAR455PE</t>
  </si>
  <si>
    <t>AXISBANK26MAR1250PE</t>
  </si>
  <si>
    <t>PETRONET26MAR295CE</t>
  </si>
  <si>
    <t>NIFTY2631723400PE</t>
  </si>
  <si>
    <t>20 days</t>
  </si>
  <si>
    <t>14 days</t>
  </si>
  <si>
    <t>NIFTY2632423600PE</t>
  </si>
  <si>
    <t>COALINDIA26MAR460PE</t>
  </si>
  <si>
    <t>ICICIGI26MAR1840PE</t>
  </si>
  <si>
    <t>INDIGO26MAR4350PE</t>
  </si>
  <si>
    <t>BANKNIFTY26MAR54800PE</t>
  </si>
  <si>
    <t>BANKNIFTY26MAR54200PE</t>
  </si>
  <si>
    <t>HINDUNILVR26MAR2100PE</t>
  </si>
  <si>
    <t>HINDUNILVR26MAR2180PE</t>
  </si>
  <si>
    <t>INDIGO26MAR4200PE</t>
  </si>
  <si>
    <t>DABUR26MAR450PE</t>
  </si>
  <si>
    <t>NIFTY2632423000PE</t>
  </si>
  <si>
    <t>GODREJCP26MAR1050PE</t>
  </si>
  <si>
    <t>COALINDIA26MAR460CE</t>
  </si>
  <si>
    <t>PETRONET26MAR270PE</t>
  </si>
  <si>
    <t>TATATECH26MAR540CE</t>
  </si>
  <si>
    <t>UpdatedOn</t>
  </si>
  <si>
    <t>ICICIPRULI26MAR560PE</t>
  </si>
  <si>
    <t>1:@2</t>
  </si>
  <si>
    <t>AUBANK26MAR890PE</t>
  </si>
  <si>
    <t>Profit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</si>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</sst>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"/>
    <numFmt numFmtId="165" formatCode="[$-14009]dddd\,\ d\ mmmm\,\ yyyy;@"/>
    <numFmt numFmtId="166" formatCode="_ * #,##0.0_ ;_ * \-#,##0.0_ ;_ * &quot;-&quot;??_ ;_ @_ "/>
    <numFmt numFmtId="167" formatCode="_ * #,##0_ ;_ * \-#,##0_ ;_ * &quot;-&quot;??_ ;_ @_ "/>
    <numFmt numFmtId="168" formatCode="0.0%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6">
    <xf numFmtId="0" fontId="0" fillId="0" borderId="0" xfId="0"/>
    <xf numFmtId="4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0" fillId="2" borderId="0" xfId="1" applyNumberFormat="1" applyFont="1" applyFill="1" applyAlignment="1">
      <alignment horizontal="center" vertical="center"/>
    </xf>
    <xf numFmtId="167" fontId="0" fillId="0" borderId="0" xfId="1" applyNumberFormat="1" applyFont="1" applyAlignment="1">
      <alignment horizontal="center" vertical="center"/>
    </xf>
    <xf numFmtId="167" fontId="0" fillId="2" borderId="0" xfId="1" applyNumberFormat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8" fontId="0" fillId="0" borderId="0" xfId="2" applyNumberFormat="1" applyFont="1" applyFill="1" applyBorder="1" applyAlignment="1">
      <alignment horizontal="center"/>
    </xf>
    <xf numFmtId="43" fontId="0" fillId="0" borderId="0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168" fontId="0" fillId="0" borderId="2" xfId="2" applyNumberFormat="1" applyFon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9" fontId="4" fillId="3" borderId="0" xfId="2" applyFont="1" applyFill="1" applyAlignment="1">
      <alignment horizontal="center" vertical="center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3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38" fontId="6" fillId="0" borderId="0" xfId="1" applyNumberFormat="1" applyFont="1" applyAlignment="1">
      <alignment horizontal="center" vertical="center"/>
    </xf>
    <xf numFmtId="38" fontId="6" fillId="0" borderId="0" xfId="1" applyNumberFormat="1" applyFont="1" applyBorder="1" applyAlignment="1">
      <alignment horizontal="center"/>
    </xf>
    <xf numFmtId="38" fontId="6" fillId="0" borderId="2" xfId="1" applyNumberFormat="1" applyFont="1" applyBorder="1" applyAlignment="1">
      <alignment horizontal="center"/>
    </xf>
    <xf numFmtId="38" fontId="6" fillId="0" borderId="0" xfId="1" applyNumberFormat="1" applyFont="1" applyAlignment="1">
      <alignment horizontal="center"/>
    </xf>
    <xf numFmtId="165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6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3" fontId="0" fillId="6" borderId="0" xfId="1" applyFont="1" applyFill="1" applyAlignment="1">
      <alignment horizontal="center" vertical="center"/>
    </xf>
    <xf numFmtId="164" fontId="0" fillId="6" borderId="0" xfId="0" applyNumberFormat="1" applyFill="1" applyAlignment="1">
      <alignment horizontal="center"/>
    </xf>
    <xf numFmtId="38" fontId="6" fillId="6" borderId="0" xfId="1" applyNumberFormat="1" applyFont="1" applyFill="1" applyAlignment="1">
      <alignment horizontal="center"/>
    </xf>
    <xf numFmtId="168" fontId="0" fillId="6" borderId="0" xfId="2" applyNumberFormat="1" applyFont="1" applyFill="1" applyBorder="1" applyAlignment="1">
      <alignment horizontal="center"/>
    </xf>
    <xf numFmtId="16" fontId="0" fillId="0" borderId="0" xfId="1" applyNumberFormat="1" applyFont="1" applyAlignment="1">
      <alignment horizontal="center" vertical="center"/>
    </xf>
    <xf numFmtId="166" fontId="0" fillId="7" borderId="0" xfId="1" applyNumberFormat="1" applyFont="1" applyFill="1" applyAlignment="1">
      <alignment horizontal="center" vertical="center"/>
    </xf>
    <xf numFmtId="0" fontId="0" fillId="7" borderId="0" xfId="0" applyFill="1"/>
    <xf numFmtId="43" fontId="0" fillId="7" borderId="0" xfId="1" applyFont="1" applyFill="1" applyAlignment="1">
      <alignment horizontal="center" vertical="center"/>
    </xf>
    <xf numFmtId="167" fontId="0" fillId="7" borderId="0" xfId="1" applyNumberFormat="1" applyFont="1" applyFill="1" applyAlignment="1">
      <alignment horizontal="center" vertical="center"/>
    </xf>
    <xf numFmtId="167" fontId="0" fillId="7" borderId="0" xfId="1" applyNumberFormat="1" applyFont="1" applyFill="1" applyBorder="1" applyAlignment="1">
      <alignment horizontal="center" vertical="center"/>
    </xf>
    <xf numFmtId="167" fontId="0" fillId="7" borderId="2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b/>
        <i val="0"/>
      </font>
      <fill>
        <patternFill patternType="solid">
          <bgColor rgb="FF00B050"/>
        </patternFill>
      </fill>
    </dxf>
    <dxf>
      <font>
        <b/>
        <i val="0"/>
      </font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00FF00"/>
      <color rgb="FFFAFA82"/>
      <color rgb="FFEBEB8D"/>
      <color rgb="FFFCF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81348-ECA5-4A11-B99B-065BE69587AA}">
  <dimension ref="A1:Z254"/>
  <sheetViews>
    <sheetView tabSelected="1" zoomScale="55" zoomScaleNormal="55" workbookViewId="0">
      <pane xSplit="7" ySplit="3" topLeftCell="H4" activePane="bottomRight" state="frozen"/>
      <selection pane="topRight"/>
      <selection pane="bottomLeft"/>
      <selection pane="bottomRight" activeCell="Q4" sqref="Q4"/>
    </sheetView>
  </sheetViews>
  <sheetFormatPr defaultColWidth="9.1796875" defaultRowHeight="14.5" x14ac:dyDescent="0.35"/>
  <cols>
    <col min="1" max="1" width="9.1796875" style="3"/>
    <col min="2" max="2" width="28.453125" style="15" bestFit="1" customWidth="1"/>
    <col min="3" max="3" width="6.453125" style="1" bestFit="1" customWidth="1"/>
    <col min="4" max="4" width="10.453125" style="2" customWidth="1"/>
    <col min="5" max="5" width="8" style="3" bestFit="1" customWidth="1"/>
    <col min="6" max="6" width="6.81640625" style="3" bestFit="1" customWidth="1"/>
    <col min="7" max="7" width="26.08984375" style="3" bestFit="1" customWidth="1"/>
    <col min="8" max="8" width="10.1796875" style="10" customWidth="1"/>
    <col min="9" max="9" width="12.81640625" style="12" customWidth="1"/>
    <col min="10" max="10" width="9" style="8" customWidth="1"/>
    <col min="11" max="11" width="5.36328125" style="3" customWidth="1"/>
    <col min="12" max="12" width="7.1796875" style="3" customWidth="1"/>
    <col min="13" max="13" width="10.6328125" style="3" customWidth="1"/>
    <col min="14" max="14" width="9.7265625" style="37" bestFit="1" customWidth="1"/>
    <col min="15" max="15" width="13.08984375" style="3" bestFit="1" customWidth="1"/>
    <col min="16" max="16" width="11.36328125" style="3" bestFit="1" customWidth="1"/>
    <col min="17" max="17" width="121.26953125" style="31" bestFit="1" customWidth="1"/>
    <col min="18" max="18" width="93.26953125" style="3" customWidth="1"/>
    <col min="19" max="19" width="12.81640625" style="3" bestFit="1" customWidth="1"/>
    <col min="20" max="20" width="9.1796875" style="3"/>
    <col min="21" max="21" width="59.453125" style="3" bestFit="1" customWidth="1"/>
    <col min="22" max="23" width="9.1796875" style="3"/>
    <col min="24" max="24" width="33.54296875" style="3" bestFit="1" customWidth="1"/>
    <col min="25" max="25" width="9.1796875" style="3"/>
    <col min="26" max="26" width="10.81640625" style="3" bestFit="1" customWidth="1"/>
    <col min="27" max="16384" width="9.1796875" style="3"/>
  </cols>
  <sheetData>
    <row r="1" spans="1:26" x14ac:dyDescent="0.35">
      <c r="G1" s="3" t="s">
        <v>0</v>
      </c>
      <c r="L1" s="16"/>
    </row>
    <row r="3" spans="1:26" ht="23.5" x14ac:dyDescent="0.35">
      <c r="A3" s="14" t="s">
        <v>76</v>
      </c>
      <c r="B3" s="14" t="s">
        <v>1</v>
      </c>
      <c r="C3" s="4" t="s">
        <v>2</v>
      </c>
      <c r="D3" s="14" t="s">
        <v>255</v>
      </c>
      <c r="E3" s="5" t="s">
        <v>3</v>
      </c>
      <c r="F3" s="5" t="s">
        <v>4</v>
      </c>
      <c r="G3" s="5" t="s">
        <v>5</v>
      </c>
      <c r="H3" s="11" t="s">
        <v>6</v>
      </c>
      <c r="I3" s="13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30" t="s">
        <v>259</v>
      </c>
      <c r="O3" s="30" t="s">
        <v>12</v>
      </c>
      <c r="P3" s="30" t="s">
        <v>260</v>
      </c>
      <c r="Q3" s="32" t="s">
        <v>13</v>
      </c>
      <c r="R3" s="6" t="s">
        <v>14</v>
      </c>
      <c r="S3" s="3" t="s">
        <v>15</v>
      </c>
      <c r="T3" s="3" t="s">
        <v>16</v>
      </c>
      <c r="U3" s="3" t="s">
        <v>17</v>
      </c>
      <c r="V3" s="3" t="s">
        <v>18</v>
      </c>
      <c r="W3" s="3" t="s">
        <v>19</v>
      </c>
    </row>
    <row r="4" spans="1:26" x14ac:dyDescent="0.35">
      <c r="A4" s="35">
        <v>1</v>
      </c>
      <c r="B4" s="15">
        <v>45959</v>
      </c>
      <c r="C4" s="1" t="s">
        <v>25</v>
      </c>
      <c r="E4" s="3" t="str">
        <f>IF(ISBLANK(G4),"",IF(RIGHT(G4,2)="CE","Option",IF(RIGHT(G4,2)="PE","Option","Stock")))</f>
        <v>Stock</v>
      </c>
      <c r="G4" s="3" t="s">
        <v>79</v>
      </c>
      <c r="H4" s="54">
        <v>1</v>
      </c>
      <c r="I4" s="25">
        <v>561</v>
      </c>
      <c r="J4" s="51">
        <v>588.54999999999995</v>
      </c>
      <c r="K4" s="28"/>
      <c r="L4" s="17">
        <f t="shared" ref="L4:L44" si="0">IF(H4&lt;&gt;0,H4*I4/1000,"")</f>
        <v>0.56100000000000005</v>
      </c>
      <c r="M4" s="17">
        <f t="shared" ref="M4:M44" si="1">IF(H4&lt;&gt;0,H4*J4/1000,"")</f>
        <v>0.58854999999999991</v>
      </c>
      <c r="N4" s="38">
        <f t="shared" ref="N4:N44" si="2">_xlfn.NUMBERVALUE(IF(H4&lt;&gt;0,TEXT(1000*(M4-L4),"#,##,###"),""))</f>
        <v>28</v>
      </c>
      <c r="O4" s="24">
        <f t="shared" ref="O4:O27" si="3">IF(H4&lt;&gt;0, (N4/L4)/1000,"")</f>
        <v>4.9910873440285199E-2</v>
      </c>
      <c r="P4" s="3" t="s">
        <v>42</v>
      </c>
      <c r="Q4" s="31" t="str">
        <f>IF(H4&lt;&gt;0,_xlfn.CONCAT(" Profit :  ",ROUND(O4*100,0)," % |  Rs. ",TEXT(ROUND(N4,1),"#,##,###"),     "  |  in ", P4,".
", I4,"--&gt;",J4," 
",ROUND(L4,1)," k --&gt; ",ROUND(M4,1),"k"," 
","Profit: Rs. ",TEXT(ROUND(N4,1),"#,##,###")," ( ",ROUND(O4*100,0)," % ) ","in ",P4," 
 #ST",TEXT(B4,"ddmmyy"),C4, "
Enjoy the Profits"),"")</f>
        <v xml:space="preserve"> Profit :  5 % |  Rs. 28  |  in 3 hours.
561--&gt;588.55 
0.6 k --&gt; 0.6k 
Profit: Rs. 28 ( 5 % ) in 3 hours 
 #ST29102504
Enjoy the Profits</v>
      </c>
      <c r="R4" s="3" t="str">
        <f>IF(H4&lt;&gt;0,IF(O4&gt;1,(_xlfn.CONCAT(ROUND(O4*100,0)," % ","
",  "One more call with over ", ROUND(O4*100,0)," % returns  in  ", P4," 
", I4, "--&gt;", J4, " 
", ROUND(L4,1)," k --&gt; ", ROUND(M4,1),"k"," 
Profit: Rs. ",TEXT(ROUND(N4,1),"#,##,###")," ( ",ROUND(O4*100,0)," % )  in ",P4," 
 #ST",TEXT(B3, "ddmmyy"),C4)), _xlfn.CONCAT(I4, "--&gt;", J4, " 
", ROUND(L4,1)," k --&gt; ", ROUND(M4,1),"k"," 
","Profit: Rs. ",TEXT(ROUND(N4,1),"#,##,###")," ( ",ROUND(O4*100,0)," % ) ", "in ",P4," 
 #ST",TEXT(B3, "ddmmyy"),C4)
),"")</f>
        <v>561--&gt;588.55 
0.6 k --&gt; 0.6k 
Profit: Rs. 28 ( 5 % ) in 3 hours 
 #STDate04</v>
      </c>
      <c r="S4" s="3" t="str">
        <f t="shared" ref="S4:S67" si="4">IF(ISBLANK(G4),"", CONCATENATE( "#ST",TEXT(B4, "ddmmyy"),C4))</f>
        <v>#ST29102504</v>
      </c>
      <c r="X4"/>
      <c r="Z4" s="34"/>
    </row>
    <row r="5" spans="1:26" x14ac:dyDescent="0.35">
      <c r="A5" s="35">
        <v>2</v>
      </c>
      <c r="B5" s="15">
        <v>45960</v>
      </c>
      <c r="C5" s="1" t="s">
        <v>20</v>
      </c>
      <c r="E5" s="3" t="str">
        <f t="shared" ref="E5:E68" si="5">IF(ISBLANK(G5),"",IF(RIGHT(G5,2)="CE","Option",IF(RIGHT(G5,2)="PE","Option","Stock")))</f>
        <v>Stock</v>
      </c>
      <c r="F5" s="18"/>
      <c r="G5" s="3" t="s">
        <v>77</v>
      </c>
      <c r="H5" s="54">
        <v>1</v>
      </c>
      <c r="I5" s="25">
        <v>750</v>
      </c>
      <c r="J5" s="51">
        <v>754.15</v>
      </c>
      <c r="K5" s="28"/>
      <c r="L5" s="17">
        <f t="shared" si="0"/>
        <v>0.75</v>
      </c>
      <c r="M5" s="17">
        <f t="shared" si="1"/>
        <v>0.75414999999999999</v>
      </c>
      <c r="N5" s="38">
        <f t="shared" si="2"/>
        <v>4</v>
      </c>
      <c r="O5" s="24">
        <f t="shared" si="3"/>
        <v>5.3333333333333332E-3</v>
      </c>
      <c r="Q5" s="31" t="str">
        <f t="shared" ref="Q5:Q68" si="6">IF(H5&lt;&gt;0,_xlfn.CONCAT(" Profit :  ",ROUND(O5*100,0)," % |  Rs. ",TEXT(ROUND(N5,1),"#,##,###"),     "  |  in ", P5,".
", I5,"--&gt;",J5," 
",ROUND(L5,1)," k --&gt; ",ROUND(M5,1),"k"," 
","Profit: Rs. ",TEXT(ROUND(N5,1),"#,##,###")," ( ",ROUND(O5*100,0)," % ) ","in ",P5," 
 #ST",TEXT(B5,"ddmmyy"),C5, "
Enjoy the Profits"),"")</f>
        <v xml:space="preserve"> Profit :  1 % |  Rs. 4  |  in .
750--&gt;754.15 
0.8 k --&gt; 0.8k 
Profit: Rs. 4 ( 1 % ) in  
 #ST30102502
Enjoy the Profits</v>
      </c>
      <c r="R5" s="3" t="str">
        <f t="shared" ref="R5:R68" si="7">IF(H5&lt;&gt;0,IF(O5&gt;1,(_xlfn.CONCAT(ROUND(O5*100,0)," % ","
",  "One more call with over ", ROUND(O5*100,0)," % returns  in  ", P5," 
", I5, "--&gt;", J5, " 
", ROUND(L5,1)," k --&gt; ", ROUND(M5,1),"k"," 
Profit: Rs. ",TEXT(ROUND(N5,1),"#,##,###")," ( ",ROUND(O5*100,0)," % )  in ",P5," 
 #ST",TEXT(B4, "ddmmyy"),C5)), _xlfn.CONCAT(I5, "--&gt;", J5, " 
", ROUND(L5,1)," k --&gt; ", ROUND(M5,1),"k"," 
","Profit: Rs. ",TEXT(ROUND(N5,1),"#,##,###")," ( ",ROUND(O5*100,0)," % ) ", "in ",P5," 
 #ST",TEXT(B4, "ddmmyy"),C5)
),"")</f>
        <v>750--&gt;754.15 
0.8 k --&gt; 0.8k 
Profit: Rs. 4 ( 1 % ) in  
 #ST29102502</v>
      </c>
      <c r="S5" s="3" t="str">
        <f t="shared" si="4"/>
        <v>#ST30102502</v>
      </c>
      <c r="X5"/>
      <c r="Z5" s="34"/>
    </row>
    <row r="6" spans="1:26" x14ac:dyDescent="0.35">
      <c r="A6" s="35">
        <v>3</v>
      </c>
      <c r="B6" s="15">
        <v>45964</v>
      </c>
      <c r="C6" s="1" t="s">
        <v>25</v>
      </c>
      <c r="D6" s="2">
        <v>45965</v>
      </c>
      <c r="E6" s="3" t="str">
        <f t="shared" si="5"/>
        <v>Stock</v>
      </c>
      <c r="F6" s="18">
        <v>0.40347222222222223</v>
      </c>
      <c r="G6" s="3" t="s">
        <v>82</v>
      </c>
      <c r="H6" s="54">
        <v>1</v>
      </c>
      <c r="I6" s="25">
        <v>276.89999999999998</v>
      </c>
      <c r="J6" s="51">
        <v>315.25</v>
      </c>
      <c r="K6" s="28"/>
      <c r="L6" s="17">
        <f t="shared" si="0"/>
        <v>0.27689999999999998</v>
      </c>
      <c r="M6" s="17">
        <f t="shared" si="1"/>
        <v>0.31524999999999997</v>
      </c>
      <c r="N6" s="38">
        <f t="shared" si="2"/>
        <v>38</v>
      </c>
      <c r="O6" s="24">
        <f t="shared" si="3"/>
        <v>0.13723365836041893</v>
      </c>
      <c r="P6" s="3" t="s">
        <v>43</v>
      </c>
      <c r="Q6" s="31" t="str">
        <f t="shared" si="6"/>
        <v xml:space="preserve"> Profit :  14 % |  Rs. 38  |  in 5 hours.
276.9--&gt;315.25 
0.3 k --&gt; 0.3k 
Profit: Rs. 38 ( 14 % ) in 5 hours 
 #ST03112504
Enjoy the Profits</v>
      </c>
      <c r="R6" s="3" t="str">
        <f t="shared" si="7"/>
        <v>276.9--&gt;315.25 
0.3 k --&gt; 0.3k 
Profit: Rs. 38 ( 14 % ) in 5 hours 
 #ST30102504</v>
      </c>
      <c r="S6" s="3" t="str">
        <f t="shared" si="4"/>
        <v>#ST03112504</v>
      </c>
      <c r="X6"/>
      <c r="Z6" s="34"/>
    </row>
    <row r="7" spans="1:26" x14ac:dyDescent="0.35">
      <c r="A7" s="35">
        <v>4</v>
      </c>
      <c r="B7" s="15">
        <v>45964</v>
      </c>
      <c r="C7" s="1" t="s">
        <v>26</v>
      </c>
      <c r="D7" s="18"/>
      <c r="E7" s="3" t="str">
        <f t="shared" si="5"/>
        <v>Stock</v>
      </c>
      <c r="F7" s="18">
        <v>0.40555555555555556</v>
      </c>
      <c r="G7" s="3" t="s">
        <v>80</v>
      </c>
      <c r="H7" s="54">
        <v>1</v>
      </c>
      <c r="I7" s="25">
        <v>9450</v>
      </c>
      <c r="J7" s="51">
        <v>10470.4</v>
      </c>
      <c r="K7" s="28">
        <v>6</v>
      </c>
      <c r="L7" s="17">
        <f t="shared" si="0"/>
        <v>9.4499999999999993</v>
      </c>
      <c r="M7" s="17">
        <f t="shared" si="1"/>
        <v>10.4704</v>
      </c>
      <c r="N7" s="38">
        <f t="shared" si="2"/>
        <v>1020</v>
      </c>
      <c r="O7" s="24">
        <f t="shared" si="3"/>
        <v>0.10793650793650796</v>
      </c>
      <c r="Q7" s="31" t="str">
        <f t="shared" si="6"/>
        <v xml:space="preserve"> Profit :  11 % |  Rs. 1,020  |  in .
9450--&gt;10470.4 
9.5 k --&gt; 10.5k 
Profit: Rs. 1,020 ( 11 % ) in  
 #ST03112505
Enjoy the Profits</v>
      </c>
      <c r="R7" s="3" t="str">
        <f t="shared" si="7"/>
        <v>9450--&gt;10470.4 
9.5 k --&gt; 10.5k 
Profit: Rs. 1,020 ( 11 % ) in  
 #ST03112505</v>
      </c>
      <c r="S7" s="3" t="str">
        <f t="shared" si="4"/>
        <v>#ST03112505</v>
      </c>
      <c r="X7"/>
      <c r="Z7" s="34"/>
    </row>
    <row r="8" spans="1:26" x14ac:dyDescent="0.35">
      <c r="A8" s="35">
        <v>5</v>
      </c>
      <c r="B8" s="15">
        <v>45964</v>
      </c>
      <c r="C8" s="1" t="s">
        <v>29</v>
      </c>
      <c r="D8" s="18"/>
      <c r="E8" s="3" t="str">
        <f t="shared" si="5"/>
        <v>Stock</v>
      </c>
      <c r="F8" s="18">
        <v>0.13194444444444445</v>
      </c>
      <c r="G8" s="3" t="s">
        <v>81</v>
      </c>
      <c r="H8" s="54">
        <v>1</v>
      </c>
      <c r="I8" s="25">
        <v>214.9</v>
      </c>
      <c r="J8" s="51">
        <v>219</v>
      </c>
      <c r="K8" s="28"/>
      <c r="L8" s="17">
        <f t="shared" si="0"/>
        <v>0.21490000000000001</v>
      </c>
      <c r="M8" s="17">
        <f t="shared" si="1"/>
        <v>0.219</v>
      </c>
      <c r="N8" s="38">
        <f t="shared" si="2"/>
        <v>4</v>
      </c>
      <c r="O8" s="24">
        <f t="shared" si="3"/>
        <v>1.8613308515588647E-2</v>
      </c>
      <c r="Q8" s="31" t="str">
        <f t="shared" si="6"/>
        <v xml:space="preserve"> Profit :  2 % |  Rs. 4  |  in .
214.9--&gt;219 
0.2 k --&gt; 0.2k 
Profit: Rs. 4 ( 2 % ) in  
 #ST03112507
Enjoy the Profits</v>
      </c>
      <c r="R8" s="3" t="str">
        <f t="shared" si="7"/>
        <v>214.9--&gt;219 
0.2 k --&gt; 0.2k 
Profit: Rs. 4 ( 2 % ) in  
 #ST03112507</v>
      </c>
      <c r="S8" s="3" t="str">
        <f t="shared" si="4"/>
        <v>#ST03112507</v>
      </c>
      <c r="X8"/>
      <c r="Z8" s="34"/>
    </row>
    <row r="9" spans="1:26" x14ac:dyDescent="0.35">
      <c r="A9" s="35">
        <v>6</v>
      </c>
      <c r="B9" s="15">
        <v>45965</v>
      </c>
      <c r="C9" s="1" t="s">
        <v>24</v>
      </c>
      <c r="E9" s="3" t="str">
        <f t="shared" si="5"/>
        <v>Stock</v>
      </c>
      <c r="F9" s="18">
        <v>0.40347222222222223</v>
      </c>
      <c r="G9" s="3" t="s">
        <v>83</v>
      </c>
      <c r="H9" s="54">
        <v>1</v>
      </c>
      <c r="I9" s="25">
        <v>476.8</v>
      </c>
      <c r="J9" s="51">
        <v>489.95</v>
      </c>
      <c r="K9" s="28">
        <v>472</v>
      </c>
      <c r="L9" s="17">
        <f t="shared" si="0"/>
        <v>0.4768</v>
      </c>
      <c r="M9" s="17">
        <f t="shared" si="1"/>
        <v>0.48995</v>
      </c>
      <c r="N9" s="38">
        <f t="shared" si="2"/>
        <v>13</v>
      </c>
      <c r="O9" s="24">
        <f t="shared" si="3"/>
        <v>2.7265100671140938E-2</v>
      </c>
      <c r="P9" s="3" t="s">
        <v>45</v>
      </c>
      <c r="Q9" s="31" t="str">
        <f t="shared" si="6"/>
        <v xml:space="preserve"> Profit :  3 % |  Rs. 13  |  in 40 min.
476.8--&gt;489.95 
0.5 k --&gt; 0.5k 
Profit: Rs. 13 ( 3 % ) in 40 min 
 #ST04112503
Enjoy the Profits</v>
      </c>
      <c r="R9" s="3" t="str">
        <f t="shared" si="7"/>
        <v>476.8--&gt;489.95 
0.5 k --&gt; 0.5k 
Profit: Rs. 13 ( 3 % ) in 40 min 
 #ST03112503</v>
      </c>
      <c r="S9" s="3" t="str">
        <f t="shared" si="4"/>
        <v>#ST04112503</v>
      </c>
      <c r="X9"/>
      <c r="Z9" s="34"/>
    </row>
    <row r="10" spans="1:26" x14ac:dyDescent="0.35">
      <c r="A10" s="35">
        <v>7</v>
      </c>
      <c r="B10" s="15">
        <v>45965</v>
      </c>
      <c r="C10" s="1" t="s">
        <v>25</v>
      </c>
      <c r="E10" s="3" t="str">
        <f t="shared" si="5"/>
        <v>Stock</v>
      </c>
      <c r="F10" s="18">
        <v>0.40416666666666667</v>
      </c>
      <c r="G10" s="3" t="s">
        <v>84</v>
      </c>
      <c r="H10" s="54">
        <v>1</v>
      </c>
      <c r="I10" s="25">
        <v>218</v>
      </c>
      <c r="J10" s="51"/>
      <c r="K10" s="28">
        <v>212</v>
      </c>
      <c r="L10" s="17">
        <f t="shared" si="0"/>
        <v>0.218</v>
      </c>
      <c r="M10" s="17">
        <f t="shared" si="1"/>
        <v>0</v>
      </c>
      <c r="N10" s="38">
        <f t="shared" si="2"/>
        <v>-218</v>
      </c>
      <c r="O10" s="24">
        <f t="shared" si="3"/>
        <v>-1</v>
      </c>
      <c r="Q10" s="31" t="str">
        <f t="shared" si="6"/>
        <v xml:space="preserve"> Profit :  -100 % |  Rs. -218  |  in .
218--&gt; 
0.2 k --&gt; 0k 
Profit: Rs. -218 ( -100 % ) in  
 #ST04112504
Enjoy the Profits</v>
      </c>
      <c r="R10" s="3" t="str">
        <f t="shared" si="7"/>
        <v>218--&gt; 
0.2 k --&gt; 0k 
Profit: Rs. -218 ( -100 % ) in  
 #ST04112504</v>
      </c>
      <c r="S10" s="3" t="str">
        <f t="shared" si="4"/>
        <v>#ST04112504</v>
      </c>
      <c r="X10"/>
      <c r="Z10" s="34"/>
    </row>
    <row r="11" spans="1:26" ht="15" thickBot="1" x14ac:dyDescent="0.4">
      <c r="A11" s="35">
        <v>8</v>
      </c>
      <c r="B11" s="36">
        <v>45967</v>
      </c>
      <c r="C11" s="1" t="s">
        <v>25</v>
      </c>
      <c r="D11" s="20"/>
      <c r="E11" s="3" t="str">
        <f t="shared" si="5"/>
        <v>Stock</v>
      </c>
      <c r="F11" s="22">
        <v>0.39791666666666664</v>
      </c>
      <c r="G11" s="21" t="s">
        <v>85</v>
      </c>
      <c r="H11" s="55">
        <v>1</v>
      </c>
      <c r="I11" s="26">
        <v>395.4</v>
      </c>
      <c r="J11" s="51">
        <v>424.95</v>
      </c>
      <c r="K11" s="29">
        <v>389</v>
      </c>
      <c r="L11" s="23">
        <f t="shared" si="0"/>
        <v>0.39539999999999997</v>
      </c>
      <c r="M11" s="23">
        <f t="shared" si="1"/>
        <v>0.42494999999999999</v>
      </c>
      <c r="N11" s="39">
        <f t="shared" si="2"/>
        <v>30</v>
      </c>
      <c r="O11" s="27">
        <f t="shared" si="3"/>
        <v>7.5872534142640377E-2</v>
      </c>
      <c r="P11" s="21"/>
      <c r="Q11" s="31" t="str">
        <f t="shared" si="6"/>
        <v xml:space="preserve"> Profit :  8 % |  Rs. 30  |  in .
395.4--&gt;424.95 
0.4 k --&gt; 0.4k 
Profit: Rs. 30 ( 8 % ) in  
 #ST06112504
Enjoy the Profits</v>
      </c>
      <c r="R11" s="3" t="str">
        <f t="shared" si="7"/>
        <v>395.4--&gt;424.95 
0.4 k --&gt; 0.4k 
Profit: Rs. 30 ( 8 % ) in  
 #ST04112504</v>
      </c>
      <c r="S11" s="3" t="str">
        <f t="shared" si="4"/>
        <v>#ST06112504</v>
      </c>
      <c r="X11"/>
      <c r="Z11" s="34"/>
    </row>
    <row r="12" spans="1:26" x14ac:dyDescent="0.35">
      <c r="A12" s="35">
        <v>9</v>
      </c>
      <c r="B12" s="15">
        <v>45967</v>
      </c>
      <c r="C12" s="1" t="s">
        <v>24</v>
      </c>
      <c r="E12" s="3" t="str">
        <f t="shared" si="5"/>
        <v>Stock</v>
      </c>
      <c r="F12" s="18">
        <v>0.41111111111111109</v>
      </c>
      <c r="G12" s="3" t="s">
        <v>73</v>
      </c>
      <c r="H12" s="53">
        <v>1</v>
      </c>
      <c r="I12" s="12">
        <v>1480</v>
      </c>
      <c r="J12" s="51">
        <v>1548.6</v>
      </c>
      <c r="K12" s="28">
        <v>1470</v>
      </c>
      <c r="L12" s="17">
        <f t="shared" si="0"/>
        <v>1.48</v>
      </c>
      <c r="M12" s="17">
        <f t="shared" si="1"/>
        <v>1.5486</v>
      </c>
      <c r="N12" s="40">
        <f t="shared" si="2"/>
        <v>69</v>
      </c>
      <c r="O12" s="24">
        <f t="shared" si="3"/>
        <v>4.6621621621621624E-2</v>
      </c>
      <c r="Q12" s="31" t="str">
        <f t="shared" si="6"/>
        <v xml:space="preserve"> Profit :  5 % |  Rs. 69  |  in .
1480--&gt;1548.6 
1.5 k --&gt; 1.5k 
Profit: Rs. 69 ( 5 % ) in  
 #ST06112503
Enjoy the Profits</v>
      </c>
      <c r="R12" s="3" t="str">
        <f t="shared" si="7"/>
        <v>1480--&gt;1548.6 
1.5 k --&gt; 1.5k 
Profit: Rs. 69 ( 5 % ) in  
 #ST06112503</v>
      </c>
      <c r="S12" s="3" t="str">
        <f t="shared" si="4"/>
        <v>#ST06112503</v>
      </c>
      <c r="X12"/>
      <c r="Z12" s="34"/>
    </row>
    <row r="13" spans="1:26" x14ac:dyDescent="0.35">
      <c r="A13" s="35">
        <v>10</v>
      </c>
      <c r="B13" s="15">
        <v>45974</v>
      </c>
      <c r="C13" s="1" t="s">
        <v>27</v>
      </c>
      <c r="E13" s="3" t="str">
        <f t="shared" si="5"/>
        <v>Stock</v>
      </c>
      <c r="G13" s="3" t="s">
        <v>86</v>
      </c>
      <c r="H13" s="53">
        <v>1</v>
      </c>
      <c r="I13" s="12">
        <v>1024</v>
      </c>
      <c r="J13" s="51">
        <v>1050</v>
      </c>
      <c r="K13" s="28">
        <v>1010</v>
      </c>
      <c r="L13" s="17">
        <f t="shared" si="0"/>
        <v>1.024</v>
      </c>
      <c r="M13" s="17">
        <f t="shared" si="1"/>
        <v>1.05</v>
      </c>
      <c r="N13" s="40">
        <f t="shared" si="2"/>
        <v>26</v>
      </c>
      <c r="O13" s="24">
        <f t="shared" si="3"/>
        <v>2.5390625E-2</v>
      </c>
      <c r="Q13" s="31" t="str">
        <f t="shared" si="6"/>
        <v xml:space="preserve"> Profit :  3 % |  Rs. 26  |  in .
1024--&gt;1050 
1 k --&gt; 1.1k 
Profit: Rs. 26 ( 3 % ) in  
 #ST13112506
Enjoy the Profits</v>
      </c>
      <c r="R13" s="3" t="str">
        <f t="shared" si="7"/>
        <v>1024--&gt;1050 
1 k --&gt; 1.1k 
Profit: Rs. 26 ( 3 % ) in  
 #ST06112506</v>
      </c>
      <c r="S13" s="3" t="str">
        <f t="shared" si="4"/>
        <v>#ST13112506</v>
      </c>
      <c r="X13"/>
      <c r="Z13" s="34"/>
    </row>
    <row r="14" spans="1:26" x14ac:dyDescent="0.35">
      <c r="A14" s="35">
        <v>11</v>
      </c>
      <c r="B14" s="15">
        <v>45978</v>
      </c>
      <c r="C14" s="1" t="s">
        <v>24</v>
      </c>
      <c r="E14" s="3" t="str">
        <f t="shared" si="5"/>
        <v>Stock</v>
      </c>
      <c r="F14" s="18"/>
      <c r="G14" s="3" t="s">
        <v>50</v>
      </c>
      <c r="H14" s="54">
        <v>1</v>
      </c>
      <c r="I14" s="25">
        <v>82.35</v>
      </c>
      <c r="J14" s="51">
        <v>82.53</v>
      </c>
      <c r="K14" s="28"/>
      <c r="L14" s="17">
        <f t="shared" si="0"/>
        <v>8.2349999999999993E-2</v>
      </c>
      <c r="M14" s="17">
        <f t="shared" si="1"/>
        <v>8.2530000000000006E-2</v>
      </c>
      <c r="N14" s="38">
        <f t="shared" si="2"/>
        <v>0</v>
      </c>
      <c r="O14" s="24">
        <f t="shared" si="3"/>
        <v>0</v>
      </c>
      <c r="P14" s="3" t="s">
        <v>40</v>
      </c>
      <c r="Q14" s="31" t="str">
        <f t="shared" si="6"/>
        <v xml:space="preserve"> Profit :  0 % |  Rs.   |  in 1 day.
82.35--&gt;82.53 
0.1 k --&gt; 0.1k 
Profit: Rs.  ( 0 % ) in 1 day 
 #ST17112503
Enjoy the Profits</v>
      </c>
      <c r="R14" s="3" t="str">
        <f t="shared" si="7"/>
        <v>82.35--&gt;82.53 
0.1 k --&gt; 0.1k 
Profit: Rs.  ( 0 % ) in 1 day 
 #ST13112503</v>
      </c>
      <c r="S14" s="3" t="str">
        <f t="shared" si="4"/>
        <v>#ST17112503</v>
      </c>
      <c r="T14" s="7"/>
      <c r="X14"/>
      <c r="Z14" s="34"/>
    </row>
    <row r="15" spans="1:26" x14ac:dyDescent="0.35">
      <c r="A15" s="35">
        <v>12</v>
      </c>
      <c r="B15" s="15">
        <v>45982</v>
      </c>
      <c r="C15" s="1" t="s">
        <v>24</v>
      </c>
      <c r="E15" s="3" t="str">
        <f t="shared" si="5"/>
        <v>Stock</v>
      </c>
      <c r="F15" s="18">
        <v>7.7777777777777779E-2</v>
      </c>
      <c r="G15" t="s">
        <v>34</v>
      </c>
      <c r="H15" s="53">
        <v>1</v>
      </c>
      <c r="I15" s="12">
        <v>878</v>
      </c>
      <c r="J15" s="51">
        <v>1200</v>
      </c>
      <c r="K15" s="28"/>
      <c r="L15" s="17">
        <f t="shared" si="0"/>
        <v>0.878</v>
      </c>
      <c r="M15" s="17">
        <f t="shared" si="1"/>
        <v>1.2</v>
      </c>
      <c r="N15" s="40">
        <f t="shared" si="2"/>
        <v>322</v>
      </c>
      <c r="O15" s="24">
        <f t="shared" si="3"/>
        <v>0.36674259681093396</v>
      </c>
      <c r="P15" s="3" t="s">
        <v>55</v>
      </c>
      <c r="Q15" s="31" t="str">
        <f t="shared" si="6"/>
        <v xml:space="preserve"> Profit :  37 % |  Rs. 322  |  in 66 min.
878--&gt;1200 
0.9 k --&gt; 1.2k 
Profit: Rs. 322 ( 37 % ) in 66 min 
 #ST21112503
Enjoy the Profits</v>
      </c>
      <c r="R15" s="3" t="str">
        <f t="shared" si="7"/>
        <v>878--&gt;1200 
0.9 k --&gt; 1.2k 
Profit: Rs. 322 ( 37 % ) in 66 min 
 #ST17112503</v>
      </c>
      <c r="S15" s="3" t="str">
        <f t="shared" si="4"/>
        <v>#ST21112503</v>
      </c>
      <c r="X15"/>
      <c r="Z15" s="34"/>
    </row>
    <row r="16" spans="1:26" x14ac:dyDescent="0.35">
      <c r="A16" s="35">
        <v>13</v>
      </c>
      <c r="B16" s="15">
        <v>45982</v>
      </c>
      <c r="C16" s="1" t="s">
        <v>26</v>
      </c>
      <c r="E16" s="3" t="str">
        <f t="shared" si="5"/>
        <v>Stock</v>
      </c>
      <c r="F16" s="18">
        <v>8.4722222222222227E-2</v>
      </c>
      <c r="G16" t="s">
        <v>89</v>
      </c>
      <c r="H16" s="53">
        <v>1</v>
      </c>
      <c r="I16" s="12">
        <v>1985</v>
      </c>
      <c r="J16" s="51">
        <v>2162.8000000000002</v>
      </c>
      <c r="K16" s="28"/>
      <c r="L16" s="17">
        <f t="shared" si="0"/>
        <v>1.9850000000000001</v>
      </c>
      <c r="M16" s="17">
        <f t="shared" si="1"/>
        <v>2.1628000000000003</v>
      </c>
      <c r="N16" s="40">
        <f t="shared" si="2"/>
        <v>178</v>
      </c>
      <c r="O16" s="24">
        <f t="shared" si="3"/>
        <v>8.967254408060453E-2</v>
      </c>
      <c r="P16" s="3" t="s">
        <v>51</v>
      </c>
      <c r="Q16" s="31" t="str">
        <f t="shared" si="6"/>
        <v xml:space="preserve"> Profit :  9 % |  Rs. 178  |  in 9 min.
1985--&gt;2162.8 
2 k --&gt; 2.2k 
Profit: Rs. 178 ( 9 % ) in 9 min 
 #ST21112505
Enjoy the Profits</v>
      </c>
      <c r="R16" s="3" t="str">
        <f t="shared" si="7"/>
        <v>1985--&gt;2162.8 
2 k --&gt; 2.2k 
Profit: Rs. 178 ( 9 % ) in 9 min 
 #ST21112505</v>
      </c>
      <c r="S16" s="3" t="str">
        <f t="shared" si="4"/>
        <v>#ST21112505</v>
      </c>
      <c r="X16"/>
      <c r="Z16" s="34"/>
    </row>
    <row r="17" spans="1:26" x14ac:dyDescent="0.35">
      <c r="A17" s="35">
        <v>14</v>
      </c>
      <c r="B17" s="15">
        <v>45985</v>
      </c>
      <c r="C17" s="1" t="s">
        <v>25</v>
      </c>
      <c r="E17" s="3" t="str">
        <f t="shared" si="5"/>
        <v>Stock</v>
      </c>
      <c r="F17" s="18">
        <v>0.39583333333333331</v>
      </c>
      <c r="G17" s="3" t="s">
        <v>90</v>
      </c>
      <c r="H17" s="54">
        <v>1</v>
      </c>
      <c r="I17" s="25">
        <v>784</v>
      </c>
      <c r="J17" s="51">
        <v>826.5</v>
      </c>
      <c r="K17" s="28"/>
      <c r="L17" s="17">
        <f t="shared" si="0"/>
        <v>0.78400000000000003</v>
      </c>
      <c r="M17" s="17">
        <f t="shared" si="1"/>
        <v>0.82650000000000001</v>
      </c>
      <c r="N17" s="38">
        <f t="shared" si="2"/>
        <v>43</v>
      </c>
      <c r="O17" s="24">
        <f t="shared" si="3"/>
        <v>5.4846938775510203E-2</v>
      </c>
      <c r="P17" s="3" t="s">
        <v>56</v>
      </c>
      <c r="Q17" s="31" t="str">
        <f t="shared" si="6"/>
        <v xml:space="preserve"> Profit :  5 % |  Rs. 43  |  in 75 min.
784--&gt;826.5 
0.8 k --&gt; 0.8k 
Profit: Rs. 43 ( 5 % ) in 75 min 
 #ST24112504
Enjoy the Profits</v>
      </c>
      <c r="R17" s="3" t="str">
        <f t="shared" si="7"/>
        <v>784--&gt;826.5 
0.8 k --&gt; 0.8k 
Profit: Rs. 43 ( 5 % ) in 75 min 
 #ST21112504</v>
      </c>
      <c r="S17" s="3" t="str">
        <f t="shared" si="4"/>
        <v>#ST24112504</v>
      </c>
      <c r="X17"/>
      <c r="Z17" s="34"/>
    </row>
    <row r="18" spans="1:26" x14ac:dyDescent="0.35">
      <c r="A18" s="35">
        <v>15</v>
      </c>
      <c r="B18" s="15">
        <v>45986</v>
      </c>
      <c r="C18" s="1" t="s">
        <v>25</v>
      </c>
      <c r="E18" s="3" t="str">
        <f t="shared" si="5"/>
        <v>Stock</v>
      </c>
      <c r="F18" s="18">
        <v>0.3888888888888889</v>
      </c>
      <c r="G18" s="3" t="s">
        <v>72</v>
      </c>
      <c r="H18" s="54">
        <v>1</v>
      </c>
      <c r="I18" s="25">
        <v>984</v>
      </c>
      <c r="J18" s="51">
        <v>999.1</v>
      </c>
      <c r="K18" s="28"/>
      <c r="L18" s="17">
        <f t="shared" si="0"/>
        <v>0.98399999999999999</v>
      </c>
      <c r="M18" s="17">
        <f t="shared" si="1"/>
        <v>0.99909999999999999</v>
      </c>
      <c r="N18" s="38">
        <f t="shared" si="2"/>
        <v>15</v>
      </c>
      <c r="O18" s="24">
        <f t="shared" si="3"/>
        <v>1.524390243902439E-2</v>
      </c>
      <c r="P18" s="3" t="s">
        <v>33</v>
      </c>
      <c r="Q18" s="31" t="str">
        <f t="shared" si="6"/>
        <v xml:space="preserve"> Profit :  2 % |  Rs. 15  |  in 2 hours.
984--&gt;999.1 
1 k --&gt; 1k 
Profit: Rs. 15 ( 2 % ) in 2 hours 
 #ST25112504
Enjoy the Profits</v>
      </c>
      <c r="R18" s="3" t="str">
        <f t="shared" si="7"/>
        <v>984--&gt;999.1 
1 k --&gt; 1k 
Profit: Rs. 15 ( 2 % ) in 2 hours 
 #ST24112504</v>
      </c>
      <c r="S18" s="3" t="str">
        <f t="shared" si="4"/>
        <v>#ST25112504</v>
      </c>
      <c r="X18"/>
      <c r="Z18" s="34"/>
    </row>
    <row r="19" spans="1:26" x14ac:dyDescent="0.35">
      <c r="A19" s="35">
        <v>16</v>
      </c>
      <c r="B19" s="15">
        <v>45988</v>
      </c>
      <c r="C19" s="1" t="s">
        <v>20</v>
      </c>
      <c r="E19" s="3" t="str">
        <f t="shared" si="5"/>
        <v>Stock</v>
      </c>
      <c r="F19" s="18">
        <v>0.39513888888888887</v>
      </c>
      <c r="G19" s="3" t="s">
        <v>80</v>
      </c>
      <c r="H19" s="54">
        <v>1</v>
      </c>
      <c r="I19" s="25">
        <v>10380</v>
      </c>
      <c r="J19" s="51">
        <v>10470.4</v>
      </c>
      <c r="K19" s="28"/>
      <c r="L19" s="17">
        <f t="shared" si="0"/>
        <v>10.38</v>
      </c>
      <c r="M19" s="17">
        <f t="shared" si="1"/>
        <v>10.4704</v>
      </c>
      <c r="N19" s="38">
        <f t="shared" si="2"/>
        <v>90</v>
      </c>
      <c r="O19" s="24">
        <f t="shared" si="3"/>
        <v>8.670520231213872E-3</v>
      </c>
      <c r="P19" s="3" t="s">
        <v>59</v>
      </c>
      <c r="Q19" s="31" t="str">
        <f t="shared" si="6"/>
        <v xml:space="preserve"> Profit :  1 % |  Rs. 90  |  in 98 min.
10380--&gt;10470.4 
10.4 k --&gt; 10.5k 
Profit: Rs. 90 ( 1 % ) in 98 min 
 #ST27112502
Enjoy the Profits</v>
      </c>
      <c r="R19" s="3" t="str">
        <f t="shared" si="7"/>
        <v>10380--&gt;10470.4 
10.4 k --&gt; 10.5k 
Profit: Rs. 90 ( 1 % ) in 98 min 
 #ST25112502</v>
      </c>
      <c r="S19" s="3" t="str">
        <f t="shared" si="4"/>
        <v>#ST27112502</v>
      </c>
      <c r="X19"/>
      <c r="Z19" s="34"/>
    </row>
    <row r="20" spans="1:26" x14ac:dyDescent="0.35">
      <c r="A20" s="35">
        <v>17</v>
      </c>
      <c r="B20" s="15">
        <v>45992</v>
      </c>
      <c r="C20" s="1" t="s">
        <v>26</v>
      </c>
      <c r="E20" s="3" t="str">
        <f t="shared" si="5"/>
        <v>Stock</v>
      </c>
      <c r="G20" s="3" t="s">
        <v>73</v>
      </c>
      <c r="H20" s="54">
        <v>1</v>
      </c>
      <c r="I20" s="25">
        <v>1543</v>
      </c>
      <c r="J20" s="51">
        <v>1548.6</v>
      </c>
      <c r="K20" s="28"/>
      <c r="L20" s="17">
        <f t="shared" si="0"/>
        <v>1.5429999999999999</v>
      </c>
      <c r="M20" s="17">
        <f t="shared" si="1"/>
        <v>1.5486</v>
      </c>
      <c r="N20" s="38">
        <f t="shared" si="2"/>
        <v>6</v>
      </c>
      <c r="O20" s="24">
        <f t="shared" si="3"/>
        <v>3.8885288399222295E-3</v>
      </c>
      <c r="P20" s="3" t="s">
        <v>60</v>
      </c>
      <c r="Q20" s="31" t="str">
        <f t="shared" si="6"/>
        <v xml:space="preserve"> Profit :  0 % |  Rs. 6  |  in 113 min.
1543--&gt;1548.6 
1.5 k --&gt; 1.5k 
Profit: Rs. 6 ( 0 % ) in 113 min 
 #ST01122505
Enjoy the Profits</v>
      </c>
      <c r="R20" s="3" t="str">
        <f t="shared" si="7"/>
        <v>1543--&gt;1548.6 
1.5 k --&gt; 1.5k 
Profit: Rs. 6 ( 0 % ) in 113 min 
 #ST27112505</v>
      </c>
      <c r="S20" s="3" t="str">
        <f t="shared" si="4"/>
        <v>#ST01122505</v>
      </c>
      <c r="X20"/>
      <c r="Z20" s="34"/>
    </row>
    <row r="21" spans="1:26" ht="15" thickBot="1" x14ac:dyDescent="0.4">
      <c r="A21" s="35">
        <v>18</v>
      </c>
      <c r="B21" s="36">
        <v>45993</v>
      </c>
      <c r="C21" s="19" t="s">
        <v>27</v>
      </c>
      <c r="D21" s="20"/>
      <c r="E21" s="3" t="str">
        <f t="shared" si="5"/>
        <v>Stock</v>
      </c>
      <c r="F21" s="22">
        <v>0.43194444444444446</v>
      </c>
      <c r="G21" s="21" t="s">
        <v>73</v>
      </c>
      <c r="H21" s="55">
        <v>1</v>
      </c>
      <c r="I21" s="26">
        <v>1522</v>
      </c>
      <c r="J21" s="51">
        <v>1524.15</v>
      </c>
      <c r="K21" s="29"/>
      <c r="L21" s="23">
        <f t="shared" si="0"/>
        <v>1.522</v>
      </c>
      <c r="M21" s="23">
        <f t="shared" si="1"/>
        <v>1.5241500000000001</v>
      </c>
      <c r="N21" s="39">
        <f t="shared" si="2"/>
        <v>2</v>
      </c>
      <c r="O21" s="27">
        <f t="shared" si="3"/>
        <v>1.3140604467805519E-3</v>
      </c>
      <c r="P21" s="21" t="s">
        <v>61</v>
      </c>
      <c r="Q21" s="31" t="str">
        <f t="shared" si="6"/>
        <v xml:space="preserve"> Profit :  0 % |  Rs. 2  |  in 121 min.
1522--&gt;1524.15 
1.5 k --&gt; 1.5k 
Profit: Rs. 2 ( 0 % ) in 121 min 
 #ST02122506
Enjoy the Profits</v>
      </c>
      <c r="R21" s="3" t="str">
        <f t="shared" si="7"/>
        <v>1522--&gt;1524.15 
1.5 k --&gt; 1.5k 
Profit: Rs. 2 ( 0 % ) in 121 min 
 #ST01122506</v>
      </c>
      <c r="S21" s="3" t="str">
        <f t="shared" si="4"/>
        <v>#ST02122506</v>
      </c>
      <c r="X21"/>
      <c r="Z21" s="34"/>
    </row>
    <row r="22" spans="1:26" x14ac:dyDescent="0.35">
      <c r="A22" s="35">
        <v>19</v>
      </c>
      <c r="B22" s="15">
        <v>45994</v>
      </c>
      <c r="C22" s="1" t="s">
        <v>26</v>
      </c>
      <c r="E22" s="3" t="str">
        <f t="shared" si="5"/>
        <v>Stock</v>
      </c>
      <c r="F22" s="18">
        <v>0.40902777777777777</v>
      </c>
      <c r="G22" s="3" t="s">
        <v>74</v>
      </c>
      <c r="H22" s="54">
        <v>1</v>
      </c>
      <c r="I22" s="25">
        <v>714</v>
      </c>
      <c r="J22" s="51">
        <v>715.55</v>
      </c>
      <c r="K22" s="28"/>
      <c r="L22" s="17">
        <f t="shared" si="0"/>
        <v>0.71399999999999997</v>
      </c>
      <c r="M22" s="17">
        <f t="shared" si="1"/>
        <v>0.71554999999999991</v>
      </c>
      <c r="N22" s="38">
        <f t="shared" si="2"/>
        <v>2</v>
      </c>
      <c r="O22" s="24">
        <f t="shared" si="3"/>
        <v>2.8011204481792722E-3</v>
      </c>
      <c r="P22" s="3" t="s">
        <v>62</v>
      </c>
      <c r="Q22" s="31" t="str">
        <f t="shared" si="6"/>
        <v xml:space="preserve"> Profit :  0 % |  Rs. 2  |  in 127 min.
714--&gt;715.55 
0.7 k --&gt; 0.7k 
Profit: Rs. 2 ( 0 % ) in 127 min 
 #ST03122505
Enjoy the Profits</v>
      </c>
      <c r="R22" s="3" t="str">
        <f t="shared" si="7"/>
        <v>714--&gt;715.55 
0.7 k --&gt; 0.7k 
Profit: Rs. 2 ( 0 % ) in 127 min 
 #ST02122505</v>
      </c>
      <c r="S22" s="3" t="str">
        <f t="shared" si="4"/>
        <v>#ST03122505</v>
      </c>
      <c r="X22"/>
      <c r="Z22" s="34"/>
    </row>
    <row r="23" spans="1:26" x14ac:dyDescent="0.35">
      <c r="A23" s="35">
        <v>20</v>
      </c>
      <c r="B23" s="15">
        <v>45999</v>
      </c>
      <c r="C23" s="1" t="s">
        <v>24</v>
      </c>
      <c r="E23" s="3" t="str">
        <f t="shared" si="5"/>
        <v>Stock</v>
      </c>
      <c r="G23" s="3" t="s">
        <v>80</v>
      </c>
      <c r="H23" s="53">
        <v>1</v>
      </c>
      <c r="I23" s="12">
        <v>10441</v>
      </c>
      <c r="J23" s="50">
        <v>10509</v>
      </c>
      <c r="K23" s="28"/>
      <c r="L23" s="17">
        <f t="shared" si="0"/>
        <v>10.441000000000001</v>
      </c>
      <c r="M23" s="17">
        <f t="shared" si="1"/>
        <v>10.509</v>
      </c>
      <c r="N23" s="40">
        <f t="shared" si="2"/>
        <v>68</v>
      </c>
      <c r="O23" s="24">
        <f t="shared" si="3"/>
        <v>6.51278613159659E-3</v>
      </c>
      <c r="P23" s="3" t="s">
        <v>63</v>
      </c>
      <c r="Q23" s="31" t="str">
        <f t="shared" si="6"/>
        <v xml:space="preserve"> Profit :  1 % |  Rs. 68  |  in 144 min.
10441--&gt;10509 
10.4 k --&gt; 10.5k 
Profit: Rs. 68 ( 1 % ) in 144 min 
 #ST08122503
Enjoy the Profits</v>
      </c>
      <c r="R23" s="3" t="str">
        <f t="shared" si="7"/>
        <v>10441--&gt;10509 
10.4 k --&gt; 10.5k 
Profit: Rs. 68 ( 1 % ) in 144 min 
 #ST03122503</v>
      </c>
      <c r="S23" s="3" t="str">
        <f t="shared" si="4"/>
        <v>#ST08122503</v>
      </c>
      <c r="X23"/>
      <c r="Z23" s="34"/>
    </row>
    <row r="24" spans="1:26" x14ac:dyDescent="0.35">
      <c r="A24" s="35">
        <v>21</v>
      </c>
      <c r="B24" s="15">
        <v>46006</v>
      </c>
      <c r="C24" s="1" t="s">
        <v>24</v>
      </c>
      <c r="E24" s="3" t="str">
        <f t="shared" si="5"/>
        <v>Stock</v>
      </c>
      <c r="F24" s="18">
        <v>0.4201388888888889</v>
      </c>
      <c r="G24" s="3" t="s">
        <v>35</v>
      </c>
      <c r="H24" s="53">
        <v>1</v>
      </c>
      <c r="I24" s="12">
        <v>262.95</v>
      </c>
      <c r="J24" s="50"/>
      <c r="K24" s="28"/>
      <c r="L24" s="17">
        <f t="shared" si="0"/>
        <v>0.26294999999999996</v>
      </c>
      <c r="M24" s="17">
        <f t="shared" si="1"/>
        <v>0</v>
      </c>
      <c r="N24" s="40">
        <f t="shared" si="2"/>
        <v>-263</v>
      </c>
      <c r="O24" s="24">
        <f t="shared" si="3"/>
        <v>-1.000190150218673</v>
      </c>
      <c r="P24" s="3" t="s">
        <v>67</v>
      </c>
      <c r="Q24" s="31" t="str">
        <f t="shared" si="6"/>
        <v xml:space="preserve"> Profit :  -100 % |  Rs. -263  |  in 18 min.
262.95--&gt; 
0.3 k --&gt; 0k 
Profit: Rs. -263 ( -100 % ) in 18 min 
 #ST15122503
Enjoy the Profits</v>
      </c>
      <c r="R24" s="3" t="str">
        <f t="shared" si="7"/>
        <v>262.95--&gt; 
0.3 k --&gt; 0k 
Profit: Rs. -263 ( -100 % ) in 18 min 
 #ST08122503</v>
      </c>
      <c r="S24" s="3" t="str">
        <f t="shared" si="4"/>
        <v>#ST15122503</v>
      </c>
      <c r="X24"/>
      <c r="Z24" s="34"/>
    </row>
    <row r="25" spans="1:26" x14ac:dyDescent="0.35">
      <c r="A25" s="35">
        <v>22</v>
      </c>
      <c r="B25" s="15">
        <v>46008</v>
      </c>
      <c r="C25" s="1" t="s">
        <v>20</v>
      </c>
      <c r="E25" s="3" t="str">
        <f t="shared" si="5"/>
        <v>Stock</v>
      </c>
      <c r="G25" s="3" t="s">
        <v>75</v>
      </c>
      <c r="H25" s="53">
        <v>1</v>
      </c>
      <c r="I25" s="12">
        <v>2663</v>
      </c>
      <c r="J25" s="50"/>
      <c r="K25" s="28">
        <v>2645</v>
      </c>
      <c r="L25" s="17">
        <f t="shared" si="0"/>
        <v>2.6629999999999998</v>
      </c>
      <c r="M25" s="17">
        <f t="shared" si="1"/>
        <v>0</v>
      </c>
      <c r="N25" s="40">
        <f t="shared" si="2"/>
        <v>-2663</v>
      </c>
      <c r="O25" s="24">
        <f t="shared" si="3"/>
        <v>-1.0000000000000002</v>
      </c>
      <c r="P25" s="3" t="s">
        <v>57</v>
      </c>
      <c r="Q25" s="31" t="str">
        <f t="shared" si="6"/>
        <v xml:space="preserve"> Profit :  -100 % |  Rs. -2,663  |  in 25 min.
2663--&gt; 
2.7 k --&gt; 0k 
Profit: Rs. -2,663 ( -100 % ) in 25 min 
 #ST17122502
Enjoy the Profits</v>
      </c>
      <c r="R25" s="3" t="str">
        <f t="shared" si="7"/>
        <v>2663--&gt; 
2.7 k --&gt; 0k 
Profit: Rs. -2,663 ( -100 % ) in 25 min 
 #ST15122502</v>
      </c>
      <c r="S25" s="3" t="str">
        <f t="shared" si="4"/>
        <v>#ST17122502</v>
      </c>
      <c r="X25"/>
      <c r="Z25" s="34"/>
    </row>
    <row r="26" spans="1:26" x14ac:dyDescent="0.35">
      <c r="A26" s="35">
        <v>23</v>
      </c>
      <c r="C26" s="1" t="s">
        <v>25</v>
      </c>
      <c r="E26" s="3" t="str">
        <f t="shared" si="5"/>
        <v>Stock</v>
      </c>
      <c r="F26" s="18">
        <v>0.40277777777777779</v>
      </c>
      <c r="G26" s="3" t="s">
        <v>92</v>
      </c>
      <c r="H26" s="53">
        <v>1</v>
      </c>
      <c r="I26" s="12">
        <v>357</v>
      </c>
      <c r="J26" s="50">
        <v>360</v>
      </c>
      <c r="K26" s="28">
        <v>354</v>
      </c>
      <c r="L26" s="17">
        <f t="shared" si="0"/>
        <v>0.35699999999999998</v>
      </c>
      <c r="M26" s="17">
        <f t="shared" si="1"/>
        <v>0.36</v>
      </c>
      <c r="N26" s="40">
        <f t="shared" si="2"/>
        <v>3</v>
      </c>
      <c r="O26" s="24">
        <f t="shared" si="3"/>
        <v>8.4033613445378148E-3</v>
      </c>
      <c r="P26" s="3" t="s">
        <v>37</v>
      </c>
      <c r="Q26" s="31" t="str">
        <f t="shared" si="6"/>
        <v xml:space="preserve"> Profit :  1 % |  Rs. 3  |  in 50 min.
357--&gt;360 
0.4 k --&gt; 0.4k 
Profit: Rs. 3 ( 1 % ) in 50 min 
 #ST00010004
Enjoy the Profits</v>
      </c>
      <c r="R26" s="3" t="str">
        <f t="shared" si="7"/>
        <v>357--&gt;360 
0.4 k --&gt; 0.4k 
Profit: Rs. 3 ( 1 % ) in 50 min 
 #ST17122504</v>
      </c>
      <c r="S26" s="3" t="str">
        <f t="shared" si="4"/>
        <v>#ST00010004</v>
      </c>
      <c r="X26"/>
      <c r="Z26" s="34"/>
    </row>
    <row r="27" spans="1:26" x14ac:dyDescent="0.35">
      <c r="A27" s="35">
        <v>24</v>
      </c>
      <c r="B27" s="15">
        <v>46020</v>
      </c>
      <c r="C27" s="1" t="s">
        <v>20</v>
      </c>
      <c r="E27" s="3" t="str">
        <f t="shared" si="5"/>
        <v>Stock</v>
      </c>
      <c r="F27" s="18">
        <v>0.39583333333333331</v>
      </c>
      <c r="G27" s="33" t="s">
        <v>93</v>
      </c>
      <c r="H27" s="53">
        <v>1</v>
      </c>
      <c r="I27" s="12">
        <v>2598</v>
      </c>
      <c r="J27" s="50">
        <v>2635</v>
      </c>
      <c r="K27" s="28"/>
      <c r="L27" s="17">
        <f t="shared" si="0"/>
        <v>2.5979999999999999</v>
      </c>
      <c r="M27" s="17">
        <f t="shared" si="1"/>
        <v>2.6349999999999998</v>
      </c>
      <c r="N27" s="40">
        <f t="shared" si="2"/>
        <v>37</v>
      </c>
      <c r="O27" s="24">
        <f t="shared" si="3"/>
        <v>1.4241724403387222E-2</v>
      </c>
      <c r="P27" s="3" t="s">
        <v>49</v>
      </c>
      <c r="Q27" s="31" t="str">
        <f t="shared" si="6"/>
        <v xml:space="preserve"> Profit :  1 % |  Rs. 37  |  in 15 min.
2598--&gt;2635 
2.6 k --&gt; 2.6k 
Profit: Rs. 37 ( 1 % ) in 15 min 
 #ST29122502
Enjoy the Profits</v>
      </c>
      <c r="R27" s="3" t="str">
        <f t="shared" si="7"/>
        <v>2598--&gt;2635 
2.6 k --&gt; 2.6k 
Profit: Rs. 37 ( 1 % ) in 15 min 
 #ST00010002</v>
      </c>
      <c r="S27" s="3" t="str">
        <f t="shared" si="4"/>
        <v>#ST29122502</v>
      </c>
      <c r="X27"/>
      <c r="Z27" s="34"/>
    </row>
    <row r="28" spans="1:26" s="44" customFormat="1" x14ac:dyDescent="0.35">
      <c r="A28" s="35">
        <v>25</v>
      </c>
      <c r="B28" s="41">
        <v>46024</v>
      </c>
      <c r="C28" s="42" t="s">
        <v>27</v>
      </c>
      <c r="D28" s="43"/>
      <c r="E28" s="3" t="str">
        <f t="shared" si="5"/>
        <v>Option</v>
      </c>
      <c r="G28" s="44" t="s">
        <v>94</v>
      </c>
      <c r="H28" s="53">
        <v>1000</v>
      </c>
      <c r="I28" s="45">
        <v>20</v>
      </c>
      <c r="J28" s="50"/>
      <c r="K28" s="44">
        <v>10</v>
      </c>
      <c r="L28" s="46">
        <f t="shared" si="0"/>
        <v>20</v>
      </c>
      <c r="M28" s="46">
        <f t="shared" si="1"/>
        <v>0</v>
      </c>
      <c r="N28" s="47">
        <f t="shared" si="2"/>
        <v>-20000</v>
      </c>
      <c r="O28" s="48" t="e">
        <f>IF(#REF!&lt;&gt;0, (N28/L28)/1000,"")</f>
        <v>#REF!</v>
      </c>
      <c r="P28" s="44" t="s">
        <v>70</v>
      </c>
      <c r="Q28" s="31" t="e">
        <f t="shared" si="6"/>
        <v>#REF!</v>
      </c>
      <c r="R28" s="3" t="e">
        <f t="shared" si="7"/>
        <v>#REF!</v>
      </c>
      <c r="S28" s="3" t="str">
        <f t="shared" si="4"/>
        <v>#ST02012606</v>
      </c>
      <c r="X28"/>
      <c r="Y28" s="3"/>
      <c r="Z28" s="34"/>
    </row>
    <row r="29" spans="1:26" x14ac:dyDescent="0.35">
      <c r="A29" s="35">
        <v>26</v>
      </c>
      <c r="B29" s="15">
        <v>46030</v>
      </c>
      <c r="C29" s="1" t="s">
        <v>24</v>
      </c>
      <c r="D29" s="2">
        <v>46050</v>
      </c>
      <c r="E29" s="3" t="str">
        <f t="shared" si="5"/>
        <v>Option</v>
      </c>
      <c r="G29" s="3" t="s">
        <v>95</v>
      </c>
      <c r="H29" s="53">
        <v>1425</v>
      </c>
      <c r="I29" s="12">
        <v>13.7</v>
      </c>
      <c r="J29" s="50">
        <v>38</v>
      </c>
      <c r="K29" s="3">
        <v>6</v>
      </c>
      <c r="L29" s="17">
        <f t="shared" si="0"/>
        <v>19.522500000000001</v>
      </c>
      <c r="M29" s="17">
        <f t="shared" si="1"/>
        <v>54.15</v>
      </c>
      <c r="N29" s="40">
        <f t="shared" si="2"/>
        <v>34628</v>
      </c>
      <c r="O29" s="24">
        <f t="shared" ref="O29:O44" si="8">IF(H29&lt;&gt;0, (N29/L29)/1000,"")</f>
        <v>1.7737482392111665</v>
      </c>
      <c r="P29" s="3" t="s">
        <v>71</v>
      </c>
      <c r="Q29" s="31" t="str">
        <f t="shared" si="6"/>
        <v xml:space="preserve"> Profit :  177 % |  Rs. 34,628  |  in 244 min.
13.7--&gt;38 
19.5 k --&gt; 54.2k 
Profit: Rs. 34,628 ( 177 % ) in 244 min 
 #ST08012603
Enjoy the Profits</v>
      </c>
      <c r="R29" s="3" t="str">
        <f t="shared" si="7"/>
        <v>177 % 
One more call with over 177 % returns  in  244 min 
13.7--&gt;38 
19.5 k --&gt; 54.2k 
Profit: Rs. 34,628 ( 177 % )  in 244 min 
 #ST02012603</v>
      </c>
      <c r="S29" s="3" t="str">
        <f t="shared" si="4"/>
        <v>#ST08012603</v>
      </c>
      <c r="X29"/>
      <c r="Z29" s="34"/>
    </row>
    <row r="30" spans="1:26" x14ac:dyDescent="0.35">
      <c r="A30" s="35">
        <v>27</v>
      </c>
      <c r="B30" s="15">
        <v>46041</v>
      </c>
      <c r="C30" s="1" t="s">
        <v>29</v>
      </c>
      <c r="E30" s="3" t="str">
        <f t="shared" si="5"/>
        <v>Option</v>
      </c>
      <c r="F30" s="18">
        <v>0.14166666666666666</v>
      </c>
      <c r="G30" s="3" t="s">
        <v>96</v>
      </c>
      <c r="H30" s="53">
        <v>550</v>
      </c>
      <c r="I30" s="12">
        <v>43.15</v>
      </c>
      <c r="J30" s="50">
        <v>46</v>
      </c>
      <c r="L30" s="17">
        <f t="shared" si="0"/>
        <v>23.732500000000002</v>
      </c>
      <c r="M30" s="17">
        <f t="shared" si="1"/>
        <v>25.3</v>
      </c>
      <c r="N30" s="40">
        <f t="shared" si="2"/>
        <v>1568</v>
      </c>
      <c r="O30" s="24">
        <f t="shared" si="8"/>
        <v>6.6069735594648696E-2</v>
      </c>
      <c r="P30" s="3" t="s">
        <v>21</v>
      </c>
      <c r="Q30" s="31" t="str">
        <f t="shared" si="6"/>
        <v xml:space="preserve"> Profit :  7 % |  Rs. 1,568  |  in Overnight.
43.15--&gt;46 
23.7 k --&gt; 25.3k 
Profit: Rs. 1,568 ( 7 % ) in Overnight 
 #ST19012607
Enjoy the Profits</v>
      </c>
      <c r="R30" s="3" t="str">
        <f t="shared" si="7"/>
        <v>43.15--&gt;46 
23.7 k --&gt; 25.3k 
Profit: Rs. 1,568 ( 7 % ) in Overnight 
 #ST08012607</v>
      </c>
      <c r="S30" s="3" t="str">
        <f t="shared" si="4"/>
        <v>#ST19012607</v>
      </c>
      <c r="X30"/>
      <c r="Z30" s="34"/>
    </row>
    <row r="31" spans="1:26" x14ac:dyDescent="0.35">
      <c r="A31" s="35">
        <v>28</v>
      </c>
      <c r="B31" s="15">
        <v>46044</v>
      </c>
      <c r="C31" s="1" t="s">
        <v>20</v>
      </c>
      <c r="E31" s="3" t="str">
        <f t="shared" si="5"/>
        <v>Option</v>
      </c>
      <c r="F31" s="3">
        <v>2</v>
      </c>
      <c r="G31" s="3" t="s">
        <v>97</v>
      </c>
      <c r="H31" s="53">
        <v>350</v>
      </c>
      <c r="I31" s="12">
        <v>62.6</v>
      </c>
      <c r="J31" s="50"/>
      <c r="L31" s="17">
        <f t="shared" si="0"/>
        <v>21.91</v>
      </c>
      <c r="M31" s="17">
        <f t="shared" si="1"/>
        <v>0</v>
      </c>
      <c r="N31" s="40">
        <f t="shared" si="2"/>
        <v>-21910</v>
      </c>
      <c r="O31" s="24">
        <f t="shared" si="8"/>
        <v>-1</v>
      </c>
      <c r="Q31" s="31" t="str">
        <f t="shared" si="6"/>
        <v xml:space="preserve"> Profit :  -100 % |  Rs. -21,910  |  in .
62.6--&gt; 
21.9 k --&gt; 0k 
Profit: Rs. -21,910 ( -100 % ) in  
 #ST22012602
Enjoy the Profits</v>
      </c>
      <c r="R31" s="3" t="str">
        <f t="shared" si="7"/>
        <v>62.6--&gt; 
21.9 k --&gt; 0k 
Profit: Rs. -21,910 ( -100 % ) in  
 #ST19012602</v>
      </c>
      <c r="S31" s="3" t="str">
        <f t="shared" si="4"/>
        <v>#ST22012602</v>
      </c>
      <c r="X31"/>
      <c r="Z31" s="34"/>
    </row>
    <row r="32" spans="1:26" x14ac:dyDescent="0.35">
      <c r="A32" s="35">
        <v>29</v>
      </c>
      <c r="B32" s="15">
        <v>46044</v>
      </c>
      <c r="C32" s="1" t="s">
        <v>25</v>
      </c>
      <c r="E32" s="3" t="str">
        <f t="shared" si="5"/>
        <v>Option</v>
      </c>
      <c r="G32" s="3" t="s">
        <v>100</v>
      </c>
      <c r="H32" s="53"/>
      <c r="I32" s="12">
        <v>198</v>
      </c>
      <c r="J32" s="50"/>
      <c r="L32" s="17" t="str">
        <f t="shared" si="0"/>
        <v/>
      </c>
      <c r="M32" s="17" t="str">
        <f t="shared" si="1"/>
        <v/>
      </c>
      <c r="N32" s="40">
        <f t="shared" si="2"/>
        <v>0</v>
      </c>
      <c r="O32" s="24" t="str">
        <f t="shared" si="8"/>
        <v/>
      </c>
      <c r="Q32" s="31" t="str">
        <f t="shared" si="6"/>
        <v/>
      </c>
      <c r="R32" s="3" t="str">
        <f t="shared" si="7"/>
        <v/>
      </c>
      <c r="S32" s="3" t="str">
        <f t="shared" si="4"/>
        <v>#ST22012604</v>
      </c>
      <c r="X32"/>
      <c r="Z32" s="34"/>
    </row>
    <row r="33" spans="1:26" x14ac:dyDescent="0.35">
      <c r="A33" s="35">
        <v>30</v>
      </c>
      <c r="B33" s="15">
        <v>46045</v>
      </c>
      <c r="C33" s="1" t="s">
        <v>20</v>
      </c>
      <c r="D33" s="2">
        <v>46050</v>
      </c>
      <c r="E33" s="3" t="str">
        <f t="shared" si="5"/>
        <v>Option</v>
      </c>
      <c r="G33" s="3" t="s">
        <v>99</v>
      </c>
      <c r="H33" s="53">
        <v>1</v>
      </c>
      <c r="I33" s="12">
        <v>13.45</v>
      </c>
      <c r="J33" s="50">
        <v>18.399999999999999</v>
      </c>
      <c r="L33" s="17">
        <f t="shared" si="0"/>
        <v>1.345E-2</v>
      </c>
      <c r="M33" s="17">
        <f t="shared" si="1"/>
        <v>1.84E-2</v>
      </c>
      <c r="N33" s="40">
        <f t="shared" si="2"/>
        <v>5</v>
      </c>
      <c r="O33" s="24">
        <f t="shared" si="8"/>
        <v>0.37174721189591076</v>
      </c>
      <c r="Q33" s="31" t="str">
        <f t="shared" si="6"/>
        <v xml:space="preserve"> Profit :  37 % |  Rs. 5  |  in .
13.45--&gt;18.4 
0 k --&gt; 0k 
Profit: Rs. 5 ( 37 % ) in  
 #ST23012602
Enjoy the Profits</v>
      </c>
      <c r="R33" s="3" t="str">
        <f t="shared" si="7"/>
        <v>13.45--&gt;18.4 
0 k --&gt; 0k 
Profit: Rs. 5 ( 37 % ) in  
 #ST22012602</v>
      </c>
      <c r="S33" s="3" t="str">
        <f t="shared" si="4"/>
        <v>#ST23012602</v>
      </c>
      <c r="X33"/>
      <c r="Z33" s="34"/>
    </row>
    <row r="34" spans="1:26" x14ac:dyDescent="0.35">
      <c r="A34" s="35">
        <v>31</v>
      </c>
      <c r="B34" s="15">
        <v>46045</v>
      </c>
      <c r="C34" s="1" t="s">
        <v>24</v>
      </c>
      <c r="D34" s="2">
        <v>46049</v>
      </c>
      <c r="E34" s="3" t="str">
        <f t="shared" si="5"/>
        <v>Option</v>
      </c>
      <c r="G34" s="3" t="s">
        <v>98</v>
      </c>
      <c r="H34" s="53">
        <v>150</v>
      </c>
      <c r="I34" s="12">
        <v>94.2</v>
      </c>
      <c r="J34" s="50">
        <v>199.45</v>
      </c>
      <c r="L34" s="17">
        <f t="shared" si="0"/>
        <v>14.13</v>
      </c>
      <c r="M34" s="17">
        <f t="shared" si="1"/>
        <v>29.9175</v>
      </c>
      <c r="N34" s="40">
        <f t="shared" si="2"/>
        <v>15788</v>
      </c>
      <c r="O34" s="24">
        <f t="shared" si="8"/>
        <v>1.1173389950460013</v>
      </c>
      <c r="P34" s="3" t="s">
        <v>78</v>
      </c>
      <c r="Q34" s="31" t="str">
        <f t="shared" si="6"/>
        <v xml:space="preserve"> Profit :  112 % |  Rs. 15,788  |  in 4 DAYS.
94.2--&gt;199.45 
14.1 k --&gt; 29.9k 
Profit: Rs. 15,788 ( 112 % ) in 4 DAYS 
 #ST23012603
Enjoy the Profits</v>
      </c>
      <c r="R34" s="3" t="str">
        <f t="shared" si="7"/>
        <v>112 % 
One more call with over 112 % returns  in  4 DAYS 
94.2--&gt;199.45 
14.1 k --&gt; 29.9k 
Profit: Rs. 15,788 ( 112 % )  in 4 DAYS 
 #ST23012603</v>
      </c>
      <c r="S34" s="3" t="str">
        <f t="shared" si="4"/>
        <v>#ST23012603</v>
      </c>
      <c r="X34"/>
      <c r="Z34" s="34"/>
    </row>
    <row r="35" spans="1:26" x14ac:dyDescent="0.35">
      <c r="A35" s="35">
        <v>32</v>
      </c>
      <c r="B35" s="15">
        <v>46049</v>
      </c>
      <c r="C35" s="1" t="s">
        <v>20</v>
      </c>
      <c r="E35" s="3" t="str">
        <f t="shared" si="5"/>
        <v>Option</v>
      </c>
      <c r="F35" s="18">
        <v>0.40555555555555556</v>
      </c>
      <c r="G35" s="3" t="s">
        <v>103</v>
      </c>
      <c r="H35" s="53">
        <v>375</v>
      </c>
      <c r="I35" s="12">
        <v>43.1</v>
      </c>
      <c r="J35" s="50"/>
      <c r="K35" s="3">
        <v>40</v>
      </c>
      <c r="L35" s="17">
        <f t="shared" si="0"/>
        <v>16.162500000000001</v>
      </c>
      <c r="M35" s="17">
        <f t="shared" si="1"/>
        <v>0</v>
      </c>
      <c r="N35" s="40">
        <f t="shared" si="2"/>
        <v>-16163</v>
      </c>
      <c r="O35" s="24">
        <f t="shared" si="8"/>
        <v>-1.000030935808198</v>
      </c>
      <c r="Q35" s="31" t="str">
        <f t="shared" si="6"/>
        <v xml:space="preserve"> Profit :  -100 % |  Rs. -16,163  |  in .
43.1--&gt; 
16.2 k --&gt; 0k 
Profit: Rs. -16,163 ( -100 % ) in  
 #ST27012602
Enjoy the Profits</v>
      </c>
      <c r="R35" s="3" t="str">
        <f t="shared" si="7"/>
        <v>43.1--&gt; 
16.2 k --&gt; 0k 
Profit: Rs. -16,163 ( -100 % ) in  
 #ST23012602</v>
      </c>
      <c r="S35" s="3" t="str">
        <f t="shared" si="4"/>
        <v>#ST27012602</v>
      </c>
      <c r="X35"/>
      <c r="Z35" s="34"/>
    </row>
    <row r="36" spans="1:26" x14ac:dyDescent="0.35">
      <c r="A36" s="35">
        <v>33</v>
      </c>
      <c r="B36" s="15">
        <v>46049</v>
      </c>
      <c r="C36" s="1" t="s">
        <v>24</v>
      </c>
      <c r="E36" s="3" t="str">
        <f t="shared" si="5"/>
        <v>Option</v>
      </c>
      <c r="F36" s="18">
        <v>0.41249999999999998</v>
      </c>
      <c r="G36" s="3" t="s">
        <v>102</v>
      </c>
      <c r="H36" s="53">
        <v>309</v>
      </c>
      <c r="I36" s="12">
        <v>61.6</v>
      </c>
      <c r="J36" s="50">
        <v>69.650000000000006</v>
      </c>
      <c r="K36" s="3">
        <v>55</v>
      </c>
      <c r="L36" s="17">
        <f t="shared" si="0"/>
        <v>19.034400000000002</v>
      </c>
      <c r="M36" s="17">
        <f t="shared" si="1"/>
        <v>21.521850000000001</v>
      </c>
      <c r="N36" s="40">
        <f t="shared" si="2"/>
        <v>2487</v>
      </c>
      <c r="O36" s="24">
        <f t="shared" si="8"/>
        <v>0.13065817677468161</v>
      </c>
      <c r="P36" s="3" t="s">
        <v>65</v>
      </c>
      <c r="Q36" s="31" t="str">
        <f t="shared" si="6"/>
        <v xml:space="preserve"> Profit :  13 % |  Rs. 2,487  |  in 16 min.
61.6--&gt;69.65 
19 k --&gt; 21.5k 
Profit: Rs. 2,487 ( 13 % ) in 16 min 
 #ST27012603
Enjoy the Profits</v>
      </c>
      <c r="R36" s="3" t="str">
        <f t="shared" si="7"/>
        <v>61.6--&gt;69.65 
19 k --&gt; 21.5k 
Profit: Rs. 2,487 ( 13 % ) in 16 min 
 #ST27012603</v>
      </c>
      <c r="S36" s="3" t="str">
        <f t="shared" si="4"/>
        <v>#ST27012603</v>
      </c>
      <c r="X36"/>
      <c r="Z36" s="34"/>
    </row>
    <row r="37" spans="1:26" x14ac:dyDescent="0.35">
      <c r="A37" s="35">
        <v>34</v>
      </c>
      <c r="B37" s="15">
        <v>46049</v>
      </c>
      <c r="C37" s="1" t="s">
        <v>25</v>
      </c>
      <c r="E37" s="3" t="str">
        <f t="shared" si="5"/>
        <v>Option</v>
      </c>
      <c r="F37" s="18">
        <v>0.1388888888888889</v>
      </c>
      <c r="G37" s="3" t="s">
        <v>101</v>
      </c>
      <c r="H37" s="53">
        <v>675</v>
      </c>
      <c r="I37" s="12">
        <v>28.3</v>
      </c>
      <c r="J37" s="50">
        <v>29.05</v>
      </c>
      <c r="L37" s="17">
        <f t="shared" si="0"/>
        <v>19.102499999999999</v>
      </c>
      <c r="M37" s="17">
        <f t="shared" si="1"/>
        <v>19.608750000000001</v>
      </c>
      <c r="N37" s="40">
        <f t="shared" si="2"/>
        <v>506</v>
      </c>
      <c r="O37" s="24">
        <f t="shared" si="8"/>
        <v>2.6488679492213063E-2</v>
      </c>
      <c r="Q37" s="31" t="str">
        <f t="shared" si="6"/>
        <v xml:space="preserve"> Profit :  3 % |  Rs. 506  |  in .
28.3--&gt;29.05 
19.1 k --&gt; 19.6k 
Profit: Rs. 506 ( 3 % ) in  
 #ST27012604
Enjoy the Profits</v>
      </c>
      <c r="R37" s="3" t="str">
        <f t="shared" si="7"/>
        <v>28.3--&gt;29.05 
19.1 k --&gt; 19.6k 
Profit: Rs. 506 ( 3 % ) in  
 #ST27012604</v>
      </c>
      <c r="S37" s="3" t="str">
        <f t="shared" si="4"/>
        <v>#ST27012604</v>
      </c>
      <c r="X37"/>
      <c r="Z37" s="34"/>
    </row>
    <row r="38" spans="1:26" x14ac:dyDescent="0.35">
      <c r="A38" s="35">
        <v>35</v>
      </c>
      <c r="B38" s="15">
        <v>46050</v>
      </c>
      <c r="C38" s="1" t="s">
        <v>23</v>
      </c>
      <c r="E38" s="3" t="str">
        <f t="shared" si="5"/>
        <v>Option</v>
      </c>
      <c r="F38" s="18">
        <v>7.8472222222222221E-2</v>
      </c>
      <c r="G38" s="3" t="s">
        <v>106</v>
      </c>
      <c r="H38" s="53">
        <v>20</v>
      </c>
      <c r="I38" s="12">
        <v>564</v>
      </c>
      <c r="J38" s="50">
        <v>1226</v>
      </c>
      <c r="L38" s="17">
        <f t="shared" si="0"/>
        <v>11.28</v>
      </c>
      <c r="M38" s="17">
        <f t="shared" si="1"/>
        <v>24.52</v>
      </c>
      <c r="N38" s="40">
        <f t="shared" si="2"/>
        <v>13240</v>
      </c>
      <c r="O38" s="24">
        <f t="shared" si="8"/>
        <v>1.1737588652482271</v>
      </c>
      <c r="P38" s="3" t="s">
        <v>40</v>
      </c>
      <c r="Q38" s="31" t="str">
        <f t="shared" si="6"/>
        <v xml:space="preserve"> Profit :  117 % |  Rs. 13,240  |  in 1 day.
564--&gt;1226 
11.3 k --&gt; 24.5k 
Profit: Rs. 13,240 ( 117 % ) in 1 day 
 #ST28012601
Enjoy the Profits</v>
      </c>
      <c r="R38" s="3" t="str">
        <f t="shared" si="7"/>
        <v>117 % 
One more call with over 117 % returns  in  1 day 
564--&gt;1226 
11.3 k --&gt; 24.5k 
Profit: Rs. 13,240 ( 117 % )  in 1 day 
 #ST27012601</v>
      </c>
      <c r="S38" s="3" t="str">
        <f t="shared" si="4"/>
        <v>#ST28012601</v>
      </c>
      <c r="X38"/>
      <c r="Z38" s="34"/>
    </row>
    <row r="39" spans="1:26" x14ac:dyDescent="0.35">
      <c r="A39" s="35">
        <v>36</v>
      </c>
      <c r="B39" s="15">
        <v>46051</v>
      </c>
      <c r="C39" s="1" t="s">
        <v>23</v>
      </c>
      <c r="E39" s="3" t="str">
        <f t="shared" si="5"/>
        <v>Option</v>
      </c>
      <c r="F39" s="18">
        <v>0.38819444444444445</v>
      </c>
      <c r="G39" s="3" t="s">
        <v>104</v>
      </c>
      <c r="H39" s="53">
        <v>150</v>
      </c>
      <c r="I39" s="12">
        <v>127.5</v>
      </c>
      <c r="J39" s="50">
        <v>171.75</v>
      </c>
      <c r="K39" s="3">
        <v>110</v>
      </c>
      <c r="L39" s="17">
        <f t="shared" si="0"/>
        <v>19.125</v>
      </c>
      <c r="M39" s="17">
        <f t="shared" si="1"/>
        <v>25.762499999999999</v>
      </c>
      <c r="N39" s="40">
        <f t="shared" si="2"/>
        <v>6638</v>
      </c>
      <c r="O39" s="24">
        <f t="shared" si="8"/>
        <v>0.34708496732026145</v>
      </c>
      <c r="P39" s="3" t="s">
        <v>40</v>
      </c>
      <c r="Q39" s="31" t="str">
        <f t="shared" si="6"/>
        <v xml:space="preserve"> Profit :  35 % |  Rs. 6,638  |  in 1 day.
127.5--&gt;171.75 
19.1 k --&gt; 25.8k 
Profit: Rs. 6,638 ( 35 % ) in 1 day 
 #ST29012601
Enjoy the Profits</v>
      </c>
      <c r="R39" s="3" t="str">
        <f t="shared" si="7"/>
        <v>127.5--&gt;171.75 
19.1 k --&gt; 25.8k 
Profit: Rs. 6,638 ( 35 % ) in 1 day 
 #ST28012601</v>
      </c>
      <c r="S39" s="3" t="str">
        <f t="shared" si="4"/>
        <v>#ST29012601</v>
      </c>
      <c r="X39"/>
      <c r="Z39" s="34"/>
    </row>
    <row r="40" spans="1:26" x14ac:dyDescent="0.35">
      <c r="A40" s="35">
        <v>37</v>
      </c>
      <c r="B40" s="15">
        <v>46051</v>
      </c>
      <c r="C40" s="1" t="s">
        <v>20</v>
      </c>
      <c r="E40" s="3" t="str">
        <f t="shared" si="5"/>
        <v>Option</v>
      </c>
      <c r="F40" s="18">
        <v>0.39374999999999999</v>
      </c>
      <c r="G40" s="3" t="s">
        <v>105</v>
      </c>
      <c r="H40" s="53">
        <v>1900</v>
      </c>
      <c r="I40" s="12">
        <v>8.6999999999999993</v>
      </c>
      <c r="J40" s="50">
        <v>7</v>
      </c>
      <c r="K40" s="3">
        <v>7</v>
      </c>
      <c r="L40" s="17">
        <f t="shared" si="0"/>
        <v>16.53</v>
      </c>
      <c r="M40" s="17">
        <f t="shared" si="1"/>
        <v>13.3</v>
      </c>
      <c r="N40" s="40">
        <f t="shared" si="2"/>
        <v>-3230</v>
      </c>
      <c r="O40" s="24">
        <f t="shared" si="8"/>
        <v>-0.1954022988505747</v>
      </c>
      <c r="Q40" s="31" t="str">
        <f t="shared" si="6"/>
        <v xml:space="preserve"> Profit :  -20 % |  Rs. -3,230  |  in .
8.7--&gt;7 
16.5 k --&gt; 13.3k 
Profit: Rs. -3,230 ( -20 % ) in  
 #ST29012602
Enjoy the Profits</v>
      </c>
      <c r="R40" s="3" t="str">
        <f t="shared" si="7"/>
        <v>8.7--&gt;7 
16.5 k --&gt; 13.3k 
Profit: Rs. -3,230 ( -20 % ) in  
 #ST29012602</v>
      </c>
      <c r="S40" s="3" t="str">
        <f t="shared" si="4"/>
        <v>#ST29012602</v>
      </c>
      <c r="X40"/>
      <c r="Z40" s="34"/>
    </row>
    <row r="41" spans="1:26" x14ac:dyDescent="0.35">
      <c r="A41" s="35">
        <v>38</v>
      </c>
      <c r="B41" s="15">
        <v>46052</v>
      </c>
      <c r="C41" s="1" t="s">
        <v>23</v>
      </c>
      <c r="E41" s="3" t="str">
        <f t="shared" si="5"/>
        <v>Stock</v>
      </c>
      <c r="F41" s="18">
        <v>0.39374999999999999</v>
      </c>
      <c r="G41" s="3" t="s">
        <v>107</v>
      </c>
      <c r="H41" s="53">
        <v>1000</v>
      </c>
      <c r="I41" s="12">
        <v>22.1</v>
      </c>
      <c r="J41" s="50">
        <v>24.6</v>
      </c>
      <c r="L41" s="17">
        <f t="shared" si="0"/>
        <v>22.1</v>
      </c>
      <c r="M41" s="17">
        <f t="shared" si="1"/>
        <v>24.6</v>
      </c>
      <c r="N41" s="40">
        <f t="shared" si="2"/>
        <v>2500</v>
      </c>
      <c r="O41" s="24">
        <f t="shared" si="8"/>
        <v>0.11312217194570136</v>
      </c>
      <c r="P41" s="3" t="s">
        <v>47</v>
      </c>
      <c r="Q41" s="31" t="str">
        <f t="shared" si="6"/>
        <v xml:space="preserve"> Profit :  11 % |  Rs. 2,500  |  in 12 min.
22.1--&gt;24.6 
22.1 k --&gt; 24.6k 
Profit: Rs. 2,500 ( 11 % ) in 12 min 
 #ST30012601
Enjoy the Profits</v>
      </c>
      <c r="R41" s="3" t="str">
        <f t="shared" si="7"/>
        <v>22.1--&gt;24.6 
22.1 k --&gt; 24.6k 
Profit: Rs. 2,500 ( 11 % ) in 12 min 
 #ST29012601</v>
      </c>
      <c r="S41" s="3" t="str">
        <f t="shared" si="4"/>
        <v>#ST30012601</v>
      </c>
      <c r="X41"/>
      <c r="Z41" s="34"/>
    </row>
    <row r="42" spans="1:26" x14ac:dyDescent="0.35">
      <c r="A42" s="35">
        <v>39</v>
      </c>
      <c r="B42" s="15">
        <v>46052</v>
      </c>
      <c r="C42" s="1" t="s">
        <v>20</v>
      </c>
      <c r="E42" s="3" t="str">
        <f t="shared" si="5"/>
        <v>Stock</v>
      </c>
      <c r="F42" s="18">
        <v>0.4</v>
      </c>
      <c r="G42" s="3" t="s">
        <v>108</v>
      </c>
      <c r="H42" s="53">
        <v>309</v>
      </c>
      <c r="I42" s="12">
        <v>66.400000000000006</v>
      </c>
      <c r="J42" s="50"/>
      <c r="L42" s="17">
        <f t="shared" si="0"/>
        <v>20.517600000000002</v>
      </c>
      <c r="M42" s="17">
        <f t="shared" si="1"/>
        <v>0</v>
      </c>
      <c r="N42" s="40">
        <f t="shared" si="2"/>
        <v>-20518</v>
      </c>
      <c r="O42" s="24">
        <f t="shared" si="8"/>
        <v>-1.0000194954575583</v>
      </c>
      <c r="Q42" s="31" t="str">
        <f t="shared" si="6"/>
        <v xml:space="preserve"> Profit :  -100 % |  Rs. -20,518  |  in .
66.4--&gt; 
20.5 k --&gt; 0k 
Profit: Rs. -20,518 ( -100 % ) in  
 #ST30012602
Enjoy the Profits</v>
      </c>
      <c r="R42" s="3" t="str">
        <f t="shared" si="7"/>
        <v>66.4--&gt; 
20.5 k --&gt; 0k 
Profit: Rs. -20,518 ( -100 % ) in  
 #ST30012602</v>
      </c>
      <c r="S42" s="3" t="str">
        <f t="shared" si="4"/>
        <v>#ST30012602</v>
      </c>
      <c r="X42"/>
      <c r="Z42" s="34"/>
    </row>
    <row r="43" spans="1:26" x14ac:dyDescent="0.35">
      <c r="A43" s="35">
        <v>40</v>
      </c>
      <c r="E43" s="3" t="str">
        <f t="shared" si="5"/>
        <v>Stock</v>
      </c>
      <c r="G43" s="3" t="s">
        <v>152</v>
      </c>
      <c r="H43" s="53">
        <v>2025</v>
      </c>
      <c r="J43" s="50"/>
      <c r="L43" s="17">
        <f t="shared" si="0"/>
        <v>0</v>
      </c>
      <c r="M43" s="17">
        <f t="shared" si="1"/>
        <v>0</v>
      </c>
      <c r="N43" s="40">
        <f t="shared" si="2"/>
        <v>0</v>
      </c>
      <c r="O43" s="24" t="e">
        <f t="shared" si="8"/>
        <v>#DIV/0!</v>
      </c>
      <c r="Q43" s="31" t="e">
        <f t="shared" si="6"/>
        <v>#DIV/0!</v>
      </c>
      <c r="R43" s="3" t="e">
        <f t="shared" si="7"/>
        <v>#DIV/0!</v>
      </c>
      <c r="S43" s="3" t="str">
        <f t="shared" si="4"/>
        <v>#ST000100</v>
      </c>
      <c r="X43"/>
      <c r="Z43" s="34"/>
    </row>
    <row r="44" spans="1:26" x14ac:dyDescent="0.35">
      <c r="A44" s="35">
        <v>41</v>
      </c>
      <c r="E44" s="3" t="str">
        <f t="shared" si="5"/>
        <v>Stock</v>
      </c>
      <c r="G44" s="3" t="s">
        <v>153</v>
      </c>
      <c r="H44" s="53">
        <v>65</v>
      </c>
      <c r="J44" s="50"/>
      <c r="L44" s="17">
        <f t="shared" si="0"/>
        <v>0</v>
      </c>
      <c r="M44" s="17">
        <f t="shared" si="1"/>
        <v>0</v>
      </c>
      <c r="N44" s="40">
        <f t="shared" si="2"/>
        <v>0</v>
      </c>
      <c r="O44" s="24" t="e">
        <f t="shared" si="8"/>
        <v>#DIV/0!</v>
      </c>
      <c r="Q44" s="31" t="e">
        <f t="shared" si="6"/>
        <v>#DIV/0!</v>
      </c>
      <c r="R44" s="3" t="e">
        <f t="shared" si="7"/>
        <v>#DIV/0!</v>
      </c>
      <c r="S44" s="3" t="str">
        <f t="shared" si="4"/>
        <v>#ST000100</v>
      </c>
      <c r="X44"/>
      <c r="Z44" s="34"/>
    </row>
    <row r="45" spans="1:26" x14ac:dyDescent="0.35">
      <c r="A45" s="35">
        <v>42</v>
      </c>
      <c r="E45" s="3" t="str">
        <f t="shared" si="5"/>
        <v>Stock</v>
      </c>
      <c r="G45" s="3" t="s">
        <v>155</v>
      </c>
      <c r="H45" s="53"/>
      <c r="J45" s="50"/>
      <c r="L45" s="17"/>
      <c r="M45" s="17"/>
      <c r="N45" s="40"/>
      <c r="O45" s="24"/>
      <c r="Q45" s="31" t="str">
        <f t="shared" si="6"/>
        <v/>
      </c>
      <c r="R45" s="3" t="str">
        <f t="shared" si="7"/>
        <v/>
      </c>
      <c r="S45" s="3" t="str">
        <f t="shared" si="4"/>
        <v>#ST000100</v>
      </c>
      <c r="X45"/>
      <c r="Z45" s="34"/>
    </row>
    <row r="46" spans="1:26" x14ac:dyDescent="0.35">
      <c r="A46" s="35">
        <v>43</v>
      </c>
      <c r="E46" s="3" t="str">
        <f t="shared" si="5"/>
        <v>Stock</v>
      </c>
      <c r="G46" s="3" t="s">
        <v>154</v>
      </c>
      <c r="H46" s="53"/>
      <c r="J46" s="50"/>
      <c r="L46" s="17"/>
      <c r="M46" s="17"/>
      <c r="N46" s="40"/>
      <c r="O46" s="24"/>
      <c r="Q46" s="31" t="str">
        <f t="shared" si="6"/>
        <v/>
      </c>
      <c r="R46" s="3" t="str">
        <f t="shared" si="7"/>
        <v/>
      </c>
      <c r="S46" s="3" t="str">
        <f t="shared" si="4"/>
        <v>#ST000100</v>
      </c>
      <c r="X46"/>
      <c r="Z46" s="34"/>
    </row>
    <row r="47" spans="1:26" x14ac:dyDescent="0.35">
      <c r="A47" s="35">
        <v>44</v>
      </c>
      <c r="E47" s="3" t="str">
        <f t="shared" si="5"/>
        <v>Stock</v>
      </c>
      <c r="G47" s="3" t="s">
        <v>156</v>
      </c>
      <c r="H47" s="53"/>
      <c r="J47" s="50"/>
      <c r="L47" s="17"/>
      <c r="M47" s="17"/>
      <c r="N47" s="40"/>
      <c r="O47" s="24"/>
      <c r="Q47" s="31" t="str">
        <f t="shared" si="6"/>
        <v/>
      </c>
      <c r="R47" s="3" t="str">
        <f t="shared" si="7"/>
        <v/>
      </c>
      <c r="S47" s="3" t="str">
        <f t="shared" si="4"/>
        <v>#ST000100</v>
      </c>
      <c r="X47"/>
      <c r="Z47" s="34"/>
    </row>
    <row r="48" spans="1:26" x14ac:dyDescent="0.35">
      <c r="A48" s="35">
        <v>45</v>
      </c>
      <c r="B48" s="15">
        <v>46054</v>
      </c>
      <c r="C48" s="1" t="s">
        <v>23</v>
      </c>
      <c r="E48" s="3" t="str">
        <f t="shared" si="5"/>
        <v>Option</v>
      </c>
      <c r="G48" s="3" t="s">
        <v>109</v>
      </c>
      <c r="H48" s="53">
        <v>150</v>
      </c>
      <c r="I48" s="12">
        <v>125.56</v>
      </c>
      <c r="J48" s="50">
        <v>151.5</v>
      </c>
      <c r="K48" s="3">
        <v>100</v>
      </c>
      <c r="L48" s="17">
        <f t="shared" ref="L48:L111" si="9">IF(H48&lt;&gt;0,H48*I48/1000,"")</f>
        <v>18.834</v>
      </c>
      <c r="M48" s="17">
        <f t="shared" ref="M48:M79" si="10">IF(H48&lt;&gt;0,H48*J48/1000,"")</f>
        <v>22.725000000000001</v>
      </c>
      <c r="N48" s="40">
        <f t="shared" ref="N48:N79" si="11">_xlfn.NUMBERVALUE(IF(H48&lt;&gt;0,TEXT(1000*(M48-L48),"#,##,###"),""))</f>
        <v>3891</v>
      </c>
      <c r="O48" s="24">
        <f t="shared" ref="O48:O79" si="12">IF(H48&lt;&gt;0, (N48/L48)/1000,"")</f>
        <v>0.20659445683338643</v>
      </c>
      <c r="P48" s="3" t="s">
        <v>112</v>
      </c>
      <c r="Q48" s="31" t="str">
        <f t="shared" si="6"/>
        <v xml:space="preserve"> Profit :  21 % |  Rs. 3,891  |  in 22 MIN.
125.56--&gt;151.5 
18.8 k --&gt; 22.7k 
Profit: Rs. 3,891 ( 21 % ) in 22 MIN 
 #ST01022601
Enjoy the Profits</v>
      </c>
      <c r="R48" s="3" t="str">
        <f t="shared" si="7"/>
        <v>125.56--&gt;151.5 
18.8 k --&gt; 22.7k 
Profit: Rs. 3,891 ( 21 % ) in 22 MIN 
 #ST00010001</v>
      </c>
      <c r="S48" s="3" t="str">
        <f t="shared" si="4"/>
        <v>#ST01022601</v>
      </c>
      <c r="X48"/>
      <c r="Z48" s="34"/>
    </row>
    <row r="49" spans="1:26" x14ac:dyDescent="0.35">
      <c r="A49" s="35">
        <v>46</v>
      </c>
      <c r="B49" s="15">
        <v>46054</v>
      </c>
      <c r="C49" s="1" t="s">
        <v>20</v>
      </c>
      <c r="E49" s="3" t="str">
        <f t="shared" si="5"/>
        <v>Option</v>
      </c>
      <c r="G49" s="3" t="s">
        <v>114</v>
      </c>
      <c r="H49" s="53">
        <v>65</v>
      </c>
      <c r="I49" s="12">
        <v>124.55</v>
      </c>
      <c r="J49" s="50">
        <v>142</v>
      </c>
      <c r="K49" s="3">
        <v>110</v>
      </c>
      <c r="L49" s="17">
        <f t="shared" si="9"/>
        <v>8.0957500000000007</v>
      </c>
      <c r="M49" s="17">
        <f t="shared" si="10"/>
        <v>9.23</v>
      </c>
      <c r="N49" s="40">
        <f t="shared" si="11"/>
        <v>1134</v>
      </c>
      <c r="O49" s="24">
        <f t="shared" si="12"/>
        <v>0.14007349535249974</v>
      </c>
      <c r="P49" s="3" t="s">
        <v>54</v>
      </c>
      <c r="Q49" s="31" t="str">
        <f t="shared" si="6"/>
        <v xml:space="preserve"> Profit :  14 % |  Rs. 1,134  |  in 45 min.
124.55--&gt;142 
8.1 k --&gt; 9.2k 
Profit: Rs. 1,134 ( 14 % ) in 45 min 
 #ST01022602
Enjoy the Profits</v>
      </c>
      <c r="R49" s="3" t="str">
        <f t="shared" si="7"/>
        <v>124.55--&gt;142 
8.1 k --&gt; 9.2k 
Profit: Rs. 1,134 ( 14 % ) in 45 min 
 #ST01022602</v>
      </c>
      <c r="S49" s="3" t="str">
        <f t="shared" si="4"/>
        <v>#ST01022602</v>
      </c>
      <c r="X49"/>
      <c r="Z49" s="34"/>
    </row>
    <row r="50" spans="1:26" x14ac:dyDescent="0.35">
      <c r="A50" s="35">
        <v>47</v>
      </c>
      <c r="B50" s="15">
        <v>46054</v>
      </c>
      <c r="C50" s="1" t="s">
        <v>24</v>
      </c>
      <c r="E50" s="3" t="str">
        <f t="shared" si="5"/>
        <v>Option</v>
      </c>
      <c r="G50" s="3" t="s">
        <v>110</v>
      </c>
      <c r="H50" s="53">
        <v>2250</v>
      </c>
      <c r="I50" s="12">
        <v>8.75</v>
      </c>
      <c r="J50" s="50">
        <v>10.5</v>
      </c>
      <c r="L50" s="17">
        <f t="shared" si="9"/>
        <v>19.6875</v>
      </c>
      <c r="M50" s="17">
        <f t="shared" si="10"/>
        <v>23.625</v>
      </c>
      <c r="N50" s="40">
        <f t="shared" si="11"/>
        <v>3938</v>
      </c>
      <c r="O50" s="24">
        <f t="shared" si="12"/>
        <v>0.20002539682539683</v>
      </c>
      <c r="P50" s="3" t="s">
        <v>32</v>
      </c>
      <c r="Q50" s="31" t="str">
        <f t="shared" si="6"/>
        <v xml:space="preserve"> Profit :  20 % |  Rs. 3,938  |  in 5 min.
8.75--&gt;10.5 
19.7 k --&gt; 23.6k 
Profit: Rs. 3,938 ( 20 % ) in 5 min 
 #ST01022603
Enjoy the Profits</v>
      </c>
      <c r="R50" s="3" t="str">
        <f t="shared" si="7"/>
        <v>8.75--&gt;10.5 
19.7 k --&gt; 23.6k 
Profit: Rs. 3,938 ( 20 % ) in 5 min 
 #ST01022603</v>
      </c>
      <c r="S50" s="3" t="str">
        <f t="shared" si="4"/>
        <v>#ST01022603</v>
      </c>
      <c r="X50"/>
      <c r="Z50" s="34"/>
    </row>
    <row r="51" spans="1:26" x14ac:dyDescent="0.35">
      <c r="A51" s="35">
        <v>48</v>
      </c>
      <c r="B51" s="15">
        <v>46054</v>
      </c>
      <c r="C51" s="1" t="s">
        <v>25</v>
      </c>
      <c r="E51" s="3" t="str">
        <f t="shared" si="5"/>
        <v>Option</v>
      </c>
      <c r="G51" s="3" t="s">
        <v>111</v>
      </c>
      <c r="H51" s="53">
        <v>1425</v>
      </c>
      <c r="I51" s="12">
        <v>14.5</v>
      </c>
      <c r="J51" s="50">
        <v>15.75</v>
      </c>
      <c r="K51" s="3">
        <v>13</v>
      </c>
      <c r="L51" s="17">
        <f t="shared" si="9"/>
        <v>20.662500000000001</v>
      </c>
      <c r="M51" s="17">
        <f t="shared" si="10"/>
        <v>22.443750000000001</v>
      </c>
      <c r="N51" s="40">
        <f t="shared" si="11"/>
        <v>1781</v>
      </c>
      <c r="O51" s="24">
        <f t="shared" si="12"/>
        <v>8.6194797338173021E-2</v>
      </c>
      <c r="Q51" s="31" t="str">
        <f t="shared" si="6"/>
        <v xml:space="preserve"> Profit :  9 % |  Rs. 1,781  |  in .
14.5--&gt;15.75 
20.7 k --&gt; 22.4k 
Profit: Rs. 1,781 ( 9 % ) in  
 #ST01022604
Enjoy the Profits</v>
      </c>
      <c r="R51" s="3" t="str">
        <f t="shared" si="7"/>
        <v>14.5--&gt;15.75 
20.7 k --&gt; 22.4k 
Profit: Rs. 1,781 ( 9 % ) in  
 #ST01022604</v>
      </c>
      <c r="S51" s="3" t="str">
        <f t="shared" si="4"/>
        <v>#ST01022604</v>
      </c>
      <c r="X51"/>
      <c r="Z51" s="34"/>
    </row>
    <row r="52" spans="1:26" x14ac:dyDescent="0.35">
      <c r="A52" s="35">
        <v>49</v>
      </c>
      <c r="B52" s="15">
        <v>46054</v>
      </c>
      <c r="C52" s="1" t="s">
        <v>26</v>
      </c>
      <c r="E52" s="3" t="str">
        <f t="shared" si="5"/>
        <v>Option</v>
      </c>
      <c r="G52" s="3" t="s">
        <v>113</v>
      </c>
      <c r="H52" s="53">
        <v>1225</v>
      </c>
      <c r="I52" s="12">
        <v>14.8</v>
      </c>
      <c r="J52" s="50">
        <v>12</v>
      </c>
      <c r="K52" s="3">
        <v>12</v>
      </c>
      <c r="L52" s="17">
        <f t="shared" si="9"/>
        <v>18.13</v>
      </c>
      <c r="M52" s="17">
        <f t="shared" si="10"/>
        <v>14.7</v>
      </c>
      <c r="N52" s="40">
        <f t="shared" si="11"/>
        <v>-3430</v>
      </c>
      <c r="O52" s="24">
        <f t="shared" si="12"/>
        <v>-0.1891891891891892</v>
      </c>
      <c r="P52" s="3" t="s">
        <v>91</v>
      </c>
      <c r="Q52" s="31" t="str">
        <f t="shared" si="6"/>
        <v xml:space="preserve"> Profit :  -19 % |  Rs. -3,430  |  in 4 min.
14.8--&gt;12 
18.1 k --&gt; 14.7k 
Profit: Rs. -3,430 ( -19 % ) in 4 min 
 #ST01022605
Enjoy the Profits</v>
      </c>
      <c r="R52" s="3" t="str">
        <f t="shared" si="7"/>
        <v>14.8--&gt;12 
18.1 k --&gt; 14.7k 
Profit: Rs. -3,430 ( -19 % ) in 4 min 
 #ST01022605</v>
      </c>
      <c r="S52" s="3" t="str">
        <f t="shared" si="4"/>
        <v>#ST01022605</v>
      </c>
      <c r="X52"/>
      <c r="Z52" s="34"/>
    </row>
    <row r="53" spans="1:26" x14ac:dyDescent="0.35">
      <c r="A53" s="35">
        <v>50</v>
      </c>
      <c r="B53" s="15">
        <v>46054</v>
      </c>
      <c r="C53" s="1" t="s">
        <v>27</v>
      </c>
      <c r="E53" s="3" t="str">
        <f t="shared" si="5"/>
        <v>Option</v>
      </c>
      <c r="G53" s="3" t="s">
        <v>117</v>
      </c>
      <c r="H53" s="53">
        <v>3000</v>
      </c>
      <c r="I53" s="12">
        <v>6.14</v>
      </c>
      <c r="J53" s="50">
        <v>16.46</v>
      </c>
      <c r="L53" s="17">
        <f t="shared" si="9"/>
        <v>18.420000000000002</v>
      </c>
      <c r="M53" s="17">
        <f t="shared" si="10"/>
        <v>49.38</v>
      </c>
      <c r="N53" s="40">
        <f t="shared" si="11"/>
        <v>30960</v>
      </c>
      <c r="O53" s="24">
        <f t="shared" si="12"/>
        <v>1.6807817589576546</v>
      </c>
      <c r="P53" s="3" t="s">
        <v>40</v>
      </c>
      <c r="Q53" s="31" t="str">
        <f t="shared" si="6"/>
        <v xml:space="preserve"> Profit :  168 % |  Rs. 30,960  |  in 1 day.
6.14--&gt;16.46 
18.4 k --&gt; 49.4k 
Profit: Rs. 30,960 ( 168 % ) in 1 day 
 #ST01022606
Enjoy the Profits</v>
      </c>
      <c r="R53" s="3" t="str">
        <f t="shared" si="7"/>
        <v>168 % 
One more call with over 168 % returns  in  1 day 
6.14--&gt;16.46 
18.4 k --&gt; 49.4k 
Profit: Rs. 30,960 ( 168 % )  in 1 day 
 #ST01022606</v>
      </c>
      <c r="S53" s="3" t="str">
        <f t="shared" si="4"/>
        <v>#ST01022606</v>
      </c>
      <c r="X53"/>
      <c r="Z53" s="34"/>
    </row>
    <row r="54" spans="1:26" x14ac:dyDescent="0.35">
      <c r="A54" s="35">
        <v>51</v>
      </c>
      <c r="B54" s="15">
        <v>46054</v>
      </c>
      <c r="C54" s="1" t="s">
        <v>29</v>
      </c>
      <c r="E54" s="3" t="str">
        <f t="shared" si="5"/>
        <v>Option</v>
      </c>
      <c r="G54" s="3" t="s">
        <v>116</v>
      </c>
      <c r="H54" s="53">
        <v>105</v>
      </c>
      <c r="I54" s="12">
        <v>132</v>
      </c>
      <c r="J54" s="50">
        <v>170</v>
      </c>
      <c r="K54" s="3">
        <v>5</v>
      </c>
      <c r="L54" s="17">
        <f t="shared" si="9"/>
        <v>13.86</v>
      </c>
      <c r="M54" s="17">
        <f t="shared" si="10"/>
        <v>17.850000000000001</v>
      </c>
      <c r="N54" s="40">
        <f t="shared" si="11"/>
        <v>3990</v>
      </c>
      <c r="O54" s="24">
        <f t="shared" si="12"/>
        <v>0.2878787878787879</v>
      </c>
      <c r="P54" s="3" t="s">
        <v>49</v>
      </c>
      <c r="Q54" s="31" t="str">
        <f t="shared" si="6"/>
        <v xml:space="preserve"> Profit :  29 % |  Rs. 3,990  |  in 15 min.
132--&gt;170 
13.9 k --&gt; 17.9k 
Profit: Rs. 3,990 ( 29 % ) in 15 min 
 #ST01022607
Enjoy the Profits</v>
      </c>
      <c r="R54" s="3" t="str">
        <f t="shared" si="7"/>
        <v>132--&gt;170 
13.9 k --&gt; 17.9k 
Profit: Rs. 3,990 ( 29 % ) in 15 min 
 #ST01022607</v>
      </c>
      <c r="S54" s="3" t="str">
        <f t="shared" si="4"/>
        <v>#ST01022607</v>
      </c>
      <c r="X54"/>
      <c r="Z54" s="34"/>
    </row>
    <row r="55" spans="1:26" x14ac:dyDescent="0.35">
      <c r="A55" s="35">
        <v>52</v>
      </c>
      <c r="B55" s="15">
        <v>46054</v>
      </c>
      <c r="C55" s="1" t="s">
        <v>31</v>
      </c>
      <c r="E55" s="3" t="str">
        <f t="shared" si="5"/>
        <v>Option</v>
      </c>
      <c r="G55" s="3" t="s">
        <v>115</v>
      </c>
      <c r="H55" s="53">
        <v>125</v>
      </c>
      <c r="I55" s="12">
        <v>150</v>
      </c>
      <c r="J55" s="50">
        <v>150</v>
      </c>
      <c r="K55" s="3">
        <v>120</v>
      </c>
      <c r="L55" s="17">
        <f t="shared" si="9"/>
        <v>18.75</v>
      </c>
      <c r="M55" s="17">
        <f t="shared" si="10"/>
        <v>18.75</v>
      </c>
      <c r="N55" s="40">
        <f t="shared" si="11"/>
        <v>0</v>
      </c>
      <c r="O55" s="24">
        <f t="shared" si="12"/>
        <v>0</v>
      </c>
      <c r="Q55" s="31" t="str">
        <f t="shared" si="6"/>
        <v xml:space="preserve"> Profit :  0 % |  Rs.   |  in .
150--&gt;150 
18.8 k --&gt; 18.8k 
Profit: Rs.  ( 0 % ) in  
 #ST01022608
Enjoy the Profits</v>
      </c>
      <c r="R55" s="3" t="str">
        <f t="shared" si="7"/>
        <v>150--&gt;150 
18.8 k --&gt; 18.8k 
Profit: Rs.  ( 0 % ) in  
 #ST01022608</v>
      </c>
      <c r="S55" s="3" t="str">
        <f t="shared" si="4"/>
        <v>#ST01022608</v>
      </c>
      <c r="X55"/>
      <c r="Z55" s="34"/>
    </row>
    <row r="56" spans="1:26" x14ac:dyDescent="0.35">
      <c r="A56" s="35">
        <v>53</v>
      </c>
      <c r="B56" s="15">
        <v>46054</v>
      </c>
      <c r="C56" s="1" t="s">
        <v>30</v>
      </c>
      <c r="E56" s="3" t="str">
        <f t="shared" si="5"/>
        <v>Option</v>
      </c>
      <c r="F56" s="18">
        <v>0.10416666666666667</v>
      </c>
      <c r="G56" s="3" t="s">
        <v>118</v>
      </c>
      <c r="H56" s="53">
        <v>65</v>
      </c>
      <c r="I56" s="12">
        <v>153</v>
      </c>
      <c r="J56" s="50">
        <v>321</v>
      </c>
      <c r="K56" s="3">
        <v>135</v>
      </c>
      <c r="L56" s="17">
        <f t="shared" si="9"/>
        <v>9.9450000000000003</v>
      </c>
      <c r="M56" s="17">
        <f t="shared" si="10"/>
        <v>20.864999999999998</v>
      </c>
      <c r="N56" s="40">
        <f t="shared" si="11"/>
        <v>10920</v>
      </c>
      <c r="O56" s="24">
        <f t="shared" si="12"/>
        <v>1.0980392156862744</v>
      </c>
      <c r="P56" s="3" t="s">
        <v>54</v>
      </c>
      <c r="Q56" s="31" t="str">
        <f t="shared" si="6"/>
        <v xml:space="preserve"> Profit :  110 % |  Rs. 10,920  |  in 45 min.
153--&gt;321 
9.9 k --&gt; 20.9k 
Profit: Rs. 10,920 ( 110 % ) in 45 min 
 #ST01022609
Enjoy the Profits</v>
      </c>
      <c r="R56" s="3" t="str">
        <f t="shared" si="7"/>
        <v>110 % 
One more call with over 110 % returns  in  45 min 
153--&gt;321 
9.9 k --&gt; 20.9k 
Profit: Rs. 10,920 ( 110 % )  in 45 min 
 #ST01022609</v>
      </c>
      <c r="S56" s="3" t="str">
        <f t="shared" si="4"/>
        <v>#ST01022609</v>
      </c>
      <c r="X56"/>
      <c r="Z56" s="34"/>
    </row>
    <row r="57" spans="1:26" x14ac:dyDescent="0.35">
      <c r="A57" s="35">
        <v>54</v>
      </c>
      <c r="B57" s="15">
        <v>46054</v>
      </c>
      <c r="C57" s="1" t="s">
        <v>22</v>
      </c>
      <c r="E57" s="3" t="str">
        <f t="shared" si="5"/>
        <v>Option</v>
      </c>
      <c r="F57" s="18">
        <v>0.14374999999999999</v>
      </c>
      <c r="G57" s="3" t="s">
        <v>120</v>
      </c>
      <c r="H57" s="53">
        <v>65</v>
      </c>
      <c r="I57" s="12">
        <v>267</v>
      </c>
      <c r="J57" s="50"/>
      <c r="L57" s="17">
        <f t="shared" si="9"/>
        <v>17.355</v>
      </c>
      <c r="M57" s="17">
        <f t="shared" si="10"/>
        <v>0</v>
      </c>
      <c r="N57" s="40">
        <f t="shared" si="11"/>
        <v>-17355</v>
      </c>
      <c r="O57" s="24">
        <f t="shared" si="12"/>
        <v>-1</v>
      </c>
      <c r="Q57" s="31" t="str">
        <f t="shared" si="6"/>
        <v xml:space="preserve"> Profit :  -100 % |  Rs. -17,355  |  in .
267--&gt; 
17.4 k --&gt; 0k 
Profit: Rs. -17,355 ( -100 % ) in  
 #ST01022610
Enjoy the Profits</v>
      </c>
      <c r="R57" s="3" t="str">
        <f t="shared" si="7"/>
        <v>267--&gt; 
17.4 k --&gt; 0k 
Profit: Rs. -17,355 ( -100 % ) in  
 #ST01022610</v>
      </c>
      <c r="S57" s="3" t="str">
        <f t="shared" si="4"/>
        <v>#ST01022610</v>
      </c>
      <c r="X57"/>
      <c r="Z57" s="34"/>
    </row>
    <row r="58" spans="1:26" x14ac:dyDescent="0.35">
      <c r="A58" s="35">
        <v>55</v>
      </c>
      <c r="B58" s="15">
        <v>46055</v>
      </c>
      <c r="C58" s="1" t="s">
        <v>23</v>
      </c>
      <c r="E58" s="3" t="str">
        <f t="shared" si="5"/>
        <v>Option</v>
      </c>
      <c r="G58" s="3" t="s">
        <v>119</v>
      </c>
      <c r="H58" s="53">
        <v>65</v>
      </c>
      <c r="I58" s="12">
        <v>148</v>
      </c>
      <c r="J58" s="50">
        <v>1999.8</v>
      </c>
      <c r="L58" s="17">
        <f t="shared" si="9"/>
        <v>9.6199999999999992</v>
      </c>
      <c r="M58" s="17">
        <f t="shared" si="10"/>
        <v>129.98699999999999</v>
      </c>
      <c r="N58" s="40">
        <f t="shared" si="11"/>
        <v>120367</v>
      </c>
      <c r="O58" s="24">
        <f t="shared" si="12"/>
        <v>12.512162162162163</v>
      </c>
      <c r="Q58" s="31" t="str">
        <f t="shared" si="6"/>
        <v xml:space="preserve"> Profit :  1251 % |  Rs. 1,20,367  |  in .
148--&gt;1999.8 
9.6 k --&gt; 130k 
Profit: Rs. 1,20,367 ( 1251 % ) in  
 #ST02022601
Enjoy the Profits</v>
      </c>
      <c r="R58" s="3" t="str">
        <f t="shared" si="7"/>
        <v>1251 % 
One more call with over 1251 % returns  in   
148--&gt;1999.8 
9.6 k --&gt; 130k 
Profit: Rs. 1,20,367 ( 1251 % )  in  
 #ST01022601</v>
      </c>
      <c r="S58" s="3" t="str">
        <f t="shared" si="4"/>
        <v>#ST02022601</v>
      </c>
      <c r="X58"/>
      <c r="Z58" s="34"/>
    </row>
    <row r="59" spans="1:26" x14ac:dyDescent="0.35">
      <c r="A59" s="35">
        <v>56</v>
      </c>
      <c r="B59" s="15">
        <v>46055</v>
      </c>
      <c r="C59" s="1" t="s">
        <v>20</v>
      </c>
      <c r="E59" s="3" t="str">
        <f t="shared" si="5"/>
        <v>Option</v>
      </c>
      <c r="G59" s="3" t="s">
        <v>118</v>
      </c>
      <c r="H59" s="53">
        <v>65</v>
      </c>
      <c r="I59" s="12">
        <v>62</v>
      </c>
      <c r="J59" s="50"/>
      <c r="L59" s="17">
        <f t="shared" si="9"/>
        <v>4.03</v>
      </c>
      <c r="M59" s="17">
        <f t="shared" si="10"/>
        <v>0</v>
      </c>
      <c r="N59" s="40">
        <f t="shared" si="11"/>
        <v>-4030</v>
      </c>
      <c r="O59" s="24">
        <f t="shared" si="12"/>
        <v>-0.99999999999999989</v>
      </c>
      <c r="Q59" s="31" t="str">
        <f t="shared" si="6"/>
        <v xml:space="preserve"> Profit :  -100 % |  Rs. -4,030  |  in .
62--&gt; 
4 k --&gt; 0k 
Profit: Rs. -4,030 ( -100 % ) in  
 #ST02022602
Enjoy the Profits</v>
      </c>
      <c r="R59" s="3" t="str">
        <f t="shared" si="7"/>
        <v>62--&gt; 
4 k --&gt; 0k 
Profit: Rs. -4,030 ( -100 % ) in  
 #ST02022602</v>
      </c>
      <c r="S59" s="3" t="str">
        <f t="shared" si="4"/>
        <v>#ST02022602</v>
      </c>
      <c r="X59"/>
      <c r="Z59" s="34"/>
    </row>
    <row r="60" spans="1:26" x14ac:dyDescent="0.35">
      <c r="A60" s="35">
        <v>57</v>
      </c>
      <c r="B60" s="15">
        <v>46056</v>
      </c>
      <c r="C60" s="1" t="s">
        <v>23</v>
      </c>
      <c r="E60" s="3" t="str">
        <f t="shared" si="5"/>
        <v>Option</v>
      </c>
      <c r="F60" s="18">
        <v>6.3888888888888884E-2</v>
      </c>
      <c r="G60" s="3" t="s">
        <v>121</v>
      </c>
      <c r="H60" s="53">
        <v>54</v>
      </c>
      <c r="I60" s="12">
        <v>64</v>
      </c>
      <c r="J60" s="50">
        <v>50</v>
      </c>
      <c r="K60" s="3">
        <v>50</v>
      </c>
      <c r="L60" s="17">
        <f t="shared" si="9"/>
        <v>3.456</v>
      </c>
      <c r="M60" s="17">
        <f t="shared" si="10"/>
        <v>2.7</v>
      </c>
      <c r="N60" s="40">
        <f t="shared" si="11"/>
        <v>-756</v>
      </c>
      <c r="O60" s="24">
        <f t="shared" si="12"/>
        <v>-0.21875</v>
      </c>
      <c r="Q60" s="31" t="str">
        <f t="shared" si="6"/>
        <v xml:space="preserve"> Profit :  -22 % |  Rs. -756  |  in .
64--&gt;50 
3.5 k --&gt; 2.7k 
Profit: Rs. -756 ( -22 % ) in  
 #ST03022601
Enjoy the Profits</v>
      </c>
      <c r="R60" s="3" t="str">
        <f t="shared" si="7"/>
        <v>64--&gt;50 
3.5 k --&gt; 2.7k 
Profit: Rs. -756 ( -22 % ) in  
 #ST02022601</v>
      </c>
      <c r="S60" s="3" t="str">
        <f t="shared" si="4"/>
        <v>#ST03022601</v>
      </c>
      <c r="X60"/>
      <c r="Z60" s="34"/>
    </row>
    <row r="61" spans="1:26" x14ac:dyDescent="0.35">
      <c r="A61" s="35">
        <v>58</v>
      </c>
      <c r="B61" s="15">
        <v>46056</v>
      </c>
      <c r="C61" s="1" t="s">
        <v>20</v>
      </c>
      <c r="E61" s="3" t="str">
        <f t="shared" si="5"/>
        <v>Option</v>
      </c>
      <c r="F61" s="18">
        <v>6.5277777777777782E-2</v>
      </c>
      <c r="G61" s="3" t="s">
        <v>122</v>
      </c>
      <c r="H61" s="53">
        <v>309</v>
      </c>
      <c r="I61" s="12">
        <v>62.15</v>
      </c>
      <c r="J61" s="50">
        <v>66</v>
      </c>
      <c r="K61" s="3">
        <v>53</v>
      </c>
      <c r="L61" s="17">
        <f t="shared" si="9"/>
        <v>19.204349999999998</v>
      </c>
      <c r="M61" s="17">
        <f t="shared" si="10"/>
        <v>20.393999999999998</v>
      </c>
      <c r="N61" s="40">
        <f t="shared" si="11"/>
        <v>1190</v>
      </c>
      <c r="O61" s="24">
        <f t="shared" si="12"/>
        <v>6.1965127692423856E-2</v>
      </c>
      <c r="Q61" s="31" t="str">
        <f t="shared" si="6"/>
        <v xml:space="preserve"> Profit :  6 % |  Rs. 1,190  |  in .
62.15--&gt;66 
19.2 k --&gt; 20.4k 
Profit: Rs. 1,190 ( 6 % ) in  
 #ST03022602
Enjoy the Profits</v>
      </c>
      <c r="R61" s="3" t="str">
        <f t="shared" si="7"/>
        <v>62.15--&gt;66 
19.2 k --&gt; 20.4k 
Profit: Rs. 1,190 ( 6 % ) in  
 #ST03022602</v>
      </c>
      <c r="S61" s="3" t="str">
        <f t="shared" si="4"/>
        <v>#ST03022602</v>
      </c>
      <c r="X61"/>
      <c r="Z61" s="34"/>
    </row>
    <row r="62" spans="1:26" x14ac:dyDescent="0.35">
      <c r="A62" s="35">
        <v>59</v>
      </c>
      <c r="B62" s="15">
        <v>46057</v>
      </c>
      <c r="C62" s="1" t="s">
        <v>23</v>
      </c>
      <c r="E62" s="3" t="str">
        <f t="shared" si="5"/>
        <v>Option</v>
      </c>
      <c r="F62" s="18">
        <v>0.125</v>
      </c>
      <c r="G62" s="3" t="s">
        <v>125</v>
      </c>
      <c r="H62" s="53">
        <v>65</v>
      </c>
      <c r="I62" s="12">
        <v>148</v>
      </c>
      <c r="J62" s="50">
        <v>1999.8</v>
      </c>
      <c r="L62" s="17">
        <f t="shared" si="9"/>
        <v>9.6199999999999992</v>
      </c>
      <c r="M62" s="17">
        <f t="shared" si="10"/>
        <v>129.98699999999999</v>
      </c>
      <c r="N62" s="40">
        <f t="shared" si="11"/>
        <v>120367</v>
      </c>
      <c r="O62" s="24">
        <f t="shared" si="12"/>
        <v>12.512162162162163</v>
      </c>
      <c r="P62" s="3" t="s">
        <v>40</v>
      </c>
      <c r="Q62" s="31" t="str">
        <f t="shared" si="6"/>
        <v xml:space="preserve"> Profit :  1251 % |  Rs. 1,20,367  |  in 1 day.
148--&gt;1999.8 
9.6 k --&gt; 130k 
Profit: Rs. 1,20,367 ( 1251 % ) in 1 day 
 #ST04022601
Enjoy the Profits</v>
      </c>
      <c r="R62" s="3" t="str">
        <f t="shared" si="7"/>
        <v>1251 % 
One more call with over 1251 % returns  in  1 day 
148--&gt;1999.8 
9.6 k --&gt; 130k 
Profit: Rs. 1,20,367 ( 1251 % )  in 1 day 
 #ST03022601</v>
      </c>
      <c r="S62" s="3" t="str">
        <f t="shared" si="4"/>
        <v>#ST04022601</v>
      </c>
      <c r="X62"/>
      <c r="Z62" s="34"/>
    </row>
    <row r="63" spans="1:26" x14ac:dyDescent="0.35">
      <c r="A63" s="35">
        <v>60</v>
      </c>
      <c r="B63" s="15">
        <v>46057</v>
      </c>
      <c r="C63" s="1" t="s">
        <v>20</v>
      </c>
      <c r="E63" s="3" t="str">
        <f t="shared" si="5"/>
        <v>Option</v>
      </c>
      <c r="F63" s="3" t="s">
        <v>126</v>
      </c>
      <c r="G63" s="3" t="s">
        <v>124</v>
      </c>
      <c r="H63" s="53">
        <v>3750</v>
      </c>
      <c r="I63" s="12">
        <v>4.8</v>
      </c>
      <c r="J63" s="50">
        <v>4.4000000000000004</v>
      </c>
      <c r="L63" s="17">
        <f t="shared" si="9"/>
        <v>18</v>
      </c>
      <c r="M63" s="17">
        <f t="shared" si="10"/>
        <v>16.5</v>
      </c>
      <c r="N63" s="40">
        <f t="shared" si="11"/>
        <v>-1500</v>
      </c>
      <c r="O63" s="24">
        <f t="shared" si="12"/>
        <v>-8.3333333333333329E-2</v>
      </c>
      <c r="Q63" s="31" t="str">
        <f t="shared" si="6"/>
        <v xml:space="preserve"> Profit :  -8 % |  Rs. -1,500  |  in .
4.8--&gt;4.4 
18 k --&gt; 16.5k 
Profit: Rs. -1,500 ( -8 % ) in  
 #ST04022602
Enjoy the Profits</v>
      </c>
      <c r="R63" s="3" t="str">
        <f t="shared" si="7"/>
        <v>4.8--&gt;4.4 
18 k --&gt; 16.5k 
Profit: Rs. -1,500 ( -8 % ) in  
 #ST04022602</v>
      </c>
      <c r="S63" s="3" t="str">
        <f t="shared" si="4"/>
        <v>#ST04022602</v>
      </c>
      <c r="X63"/>
      <c r="Z63" s="34"/>
    </row>
    <row r="64" spans="1:26" x14ac:dyDescent="0.35">
      <c r="A64" s="35">
        <v>61</v>
      </c>
      <c r="B64" s="15">
        <v>46057</v>
      </c>
      <c r="C64" s="1" t="s">
        <v>24</v>
      </c>
      <c r="E64" s="3" t="str">
        <f t="shared" si="5"/>
        <v>Option</v>
      </c>
      <c r="F64" s="18">
        <v>0.14097222222222222</v>
      </c>
      <c r="G64" s="3" t="s">
        <v>123</v>
      </c>
      <c r="H64" s="53">
        <v>475</v>
      </c>
      <c r="I64" s="12">
        <v>39.9</v>
      </c>
      <c r="J64" s="50">
        <v>43</v>
      </c>
      <c r="L64" s="17">
        <f t="shared" si="9"/>
        <v>18.952500000000001</v>
      </c>
      <c r="M64" s="17">
        <f t="shared" si="10"/>
        <v>20.425000000000001</v>
      </c>
      <c r="N64" s="40">
        <f t="shared" si="11"/>
        <v>1473</v>
      </c>
      <c r="O64" s="24">
        <f t="shared" si="12"/>
        <v>7.7720617332805705E-2</v>
      </c>
      <c r="P64" s="3" t="s">
        <v>28</v>
      </c>
      <c r="Q64" s="31" t="str">
        <f t="shared" si="6"/>
        <v xml:space="preserve"> Profit :  8 % |  Rs. 1,473  |  in 2 Days.
39.9--&gt;43 
19 k --&gt; 20.4k 
Profit: Rs. 1,473 ( 8 % ) in 2 Days 
 #ST04022603
Enjoy the Profits</v>
      </c>
      <c r="R64" s="3" t="str">
        <f t="shared" si="7"/>
        <v>39.9--&gt;43 
19 k --&gt; 20.4k 
Profit: Rs. 1,473 ( 8 % ) in 2 Days 
 #ST04022603</v>
      </c>
      <c r="S64" s="3" t="str">
        <f t="shared" si="4"/>
        <v>#ST04022603</v>
      </c>
      <c r="X64"/>
      <c r="Z64" s="34"/>
    </row>
    <row r="65" spans="1:26" x14ac:dyDescent="0.35">
      <c r="A65" s="35">
        <v>62</v>
      </c>
      <c r="B65" s="15">
        <v>46058</v>
      </c>
      <c r="C65" s="1" t="s">
        <v>23</v>
      </c>
      <c r="E65" s="3" t="str">
        <f t="shared" si="5"/>
        <v>Option</v>
      </c>
      <c r="F65" s="18">
        <v>0.40416666666666667</v>
      </c>
      <c r="G65" s="3" t="s">
        <v>127</v>
      </c>
      <c r="H65" s="53">
        <v>20</v>
      </c>
      <c r="I65" s="12">
        <v>851</v>
      </c>
      <c r="J65" s="50">
        <v>959</v>
      </c>
      <c r="K65" s="3">
        <v>800</v>
      </c>
      <c r="L65" s="17">
        <f t="shared" si="9"/>
        <v>17.02</v>
      </c>
      <c r="M65" s="17">
        <f t="shared" si="10"/>
        <v>19.18</v>
      </c>
      <c r="N65" s="40">
        <f t="shared" si="11"/>
        <v>2160</v>
      </c>
      <c r="O65" s="24">
        <f t="shared" si="12"/>
        <v>0.12690951821386603</v>
      </c>
      <c r="P65" s="3" t="s">
        <v>32</v>
      </c>
      <c r="Q65" s="31" t="str">
        <f t="shared" si="6"/>
        <v xml:space="preserve"> Profit :  13 % |  Rs. 2,160  |  in 5 min.
851--&gt;959 
17 k --&gt; 19.2k 
Profit: Rs. 2,160 ( 13 % ) in 5 min 
 #ST05022601
Enjoy the Profits</v>
      </c>
      <c r="R65" s="3" t="str">
        <f t="shared" si="7"/>
        <v>851--&gt;959 
17 k --&gt; 19.2k 
Profit: Rs. 2,160 ( 13 % ) in 5 min 
 #ST04022601</v>
      </c>
      <c r="S65" s="3" t="str">
        <f t="shared" si="4"/>
        <v>#ST05022601</v>
      </c>
      <c r="X65"/>
      <c r="Z65" s="34"/>
    </row>
    <row r="66" spans="1:26" x14ac:dyDescent="0.35">
      <c r="A66" s="35">
        <v>63</v>
      </c>
      <c r="B66" s="15">
        <v>46058</v>
      </c>
      <c r="C66" s="1" t="s">
        <v>20</v>
      </c>
      <c r="E66" s="3" t="str">
        <f t="shared" si="5"/>
        <v>Option</v>
      </c>
      <c r="F66" s="18">
        <v>0.43055555555555558</v>
      </c>
      <c r="G66" s="3" t="s">
        <v>130</v>
      </c>
      <c r="H66" s="53">
        <v>750</v>
      </c>
      <c r="I66" s="12">
        <v>25.9</v>
      </c>
      <c r="J66" s="50">
        <v>22</v>
      </c>
      <c r="K66" s="3">
        <v>22</v>
      </c>
      <c r="L66" s="17">
        <f t="shared" si="9"/>
        <v>19.425000000000001</v>
      </c>
      <c r="M66" s="17">
        <f t="shared" si="10"/>
        <v>16.5</v>
      </c>
      <c r="N66" s="40">
        <f t="shared" si="11"/>
        <v>-2925</v>
      </c>
      <c r="O66" s="24">
        <f t="shared" si="12"/>
        <v>-0.15057915057915056</v>
      </c>
      <c r="Q66" s="31" t="str">
        <f t="shared" si="6"/>
        <v xml:space="preserve"> Profit :  -15 % |  Rs. -2,925  |  in .
25.9--&gt;22 
19.4 k --&gt; 16.5k 
Profit: Rs. -2,925 ( -15 % ) in  
 #ST05022602
Enjoy the Profits</v>
      </c>
      <c r="R66" s="3" t="str">
        <f t="shared" si="7"/>
        <v>25.9--&gt;22 
19.4 k --&gt; 16.5k 
Profit: Rs. -2,925 ( -15 % ) in  
 #ST05022602</v>
      </c>
      <c r="S66" s="3" t="str">
        <f t="shared" si="4"/>
        <v>#ST05022602</v>
      </c>
      <c r="X66"/>
      <c r="Z66" s="34"/>
    </row>
    <row r="67" spans="1:26" x14ac:dyDescent="0.35">
      <c r="A67" s="35">
        <v>64</v>
      </c>
      <c r="B67" s="15">
        <v>46062</v>
      </c>
      <c r="C67" s="1" t="s">
        <v>23</v>
      </c>
      <c r="E67" s="3" t="str">
        <f t="shared" si="5"/>
        <v>Option</v>
      </c>
      <c r="F67" s="18">
        <v>0.41875000000000001</v>
      </c>
      <c r="G67" s="3" t="s">
        <v>129</v>
      </c>
      <c r="H67" s="53">
        <v>6500</v>
      </c>
      <c r="I67" s="12">
        <v>2.89</v>
      </c>
      <c r="J67" s="50">
        <v>2.5</v>
      </c>
      <c r="K67" s="3">
        <v>2.5</v>
      </c>
      <c r="L67" s="17">
        <f t="shared" si="9"/>
        <v>18.785</v>
      </c>
      <c r="M67" s="17">
        <f t="shared" si="10"/>
        <v>16.25</v>
      </c>
      <c r="N67" s="40">
        <f t="shared" si="11"/>
        <v>-2535</v>
      </c>
      <c r="O67" s="24">
        <f t="shared" si="12"/>
        <v>-0.13494809688581316</v>
      </c>
      <c r="Q67" s="31" t="str">
        <f t="shared" si="6"/>
        <v xml:space="preserve"> Profit :  -13 % |  Rs. -2,535  |  in .
2.89--&gt;2.5 
18.8 k --&gt; 16.3k 
Profit: Rs. -2,535 ( -13 % ) in  
 #ST09022601
Enjoy the Profits</v>
      </c>
      <c r="R67" s="3" t="str">
        <f t="shared" si="7"/>
        <v>2.89--&gt;2.5 
18.8 k --&gt; 16.3k 
Profit: Rs. -2,535 ( -13 % ) in  
 #ST05022601</v>
      </c>
      <c r="S67" s="3" t="str">
        <f t="shared" si="4"/>
        <v>#ST09022601</v>
      </c>
      <c r="X67"/>
      <c r="Z67" s="34"/>
    </row>
    <row r="68" spans="1:26" x14ac:dyDescent="0.35">
      <c r="A68" s="35">
        <v>65</v>
      </c>
      <c r="B68" s="15">
        <v>46062</v>
      </c>
      <c r="C68" s="1" t="s">
        <v>20</v>
      </c>
      <c r="D68" s="2">
        <v>46063</v>
      </c>
      <c r="E68" s="3" t="str">
        <f t="shared" si="5"/>
        <v>Option</v>
      </c>
      <c r="F68" s="18">
        <v>0.42083333333333334</v>
      </c>
      <c r="G68" s="3" t="s">
        <v>128</v>
      </c>
      <c r="H68" s="53">
        <v>425</v>
      </c>
      <c r="I68" s="12">
        <v>47.15</v>
      </c>
      <c r="J68" s="50">
        <v>71.45</v>
      </c>
      <c r="K68" s="3">
        <v>43</v>
      </c>
      <c r="L68" s="17">
        <f t="shared" si="9"/>
        <v>20.03875</v>
      </c>
      <c r="M68" s="17">
        <f t="shared" si="10"/>
        <v>30.366250000000001</v>
      </c>
      <c r="N68" s="40">
        <f t="shared" si="11"/>
        <v>10328</v>
      </c>
      <c r="O68" s="24">
        <f t="shared" si="12"/>
        <v>0.51540140976857329</v>
      </c>
      <c r="P68" s="3" t="s">
        <v>43</v>
      </c>
      <c r="Q68" s="31" t="str">
        <f t="shared" si="6"/>
        <v xml:space="preserve"> Profit :  52 % |  Rs. 10,328  |  in 5 hours.
47.15--&gt;71.45 
20 k --&gt; 30.4k 
Profit: Rs. 10,328 ( 52 % ) in 5 hours 
 #ST09022602
Enjoy the Profits</v>
      </c>
      <c r="R68" s="3" t="str">
        <f t="shared" si="7"/>
        <v>47.15--&gt;71.45 
20 k --&gt; 30.4k 
Profit: Rs. 10,328 ( 52 % ) in 5 hours 
 #ST09022602</v>
      </c>
      <c r="S68" s="3" t="str">
        <f t="shared" ref="S68:S131" si="13">IF(ISBLANK(G68),"", CONCATENATE( "#ST",TEXT(B68, "ddmmyy"),C68))</f>
        <v>#ST09022602</v>
      </c>
      <c r="X68"/>
      <c r="Z68" s="34"/>
    </row>
    <row r="69" spans="1:26" x14ac:dyDescent="0.35">
      <c r="A69" s="35">
        <v>66</v>
      </c>
      <c r="B69" s="15">
        <v>46062</v>
      </c>
      <c r="C69" s="1" t="s">
        <v>24</v>
      </c>
      <c r="D69" s="2">
        <v>46064</v>
      </c>
      <c r="E69" s="3" t="str">
        <f t="shared" ref="E69:E132" si="14">IF(ISBLANK(G69),"",IF(RIGHT(G69,2)="CE","Option",IF(RIGHT(G69,2)="PE","Option","Stock")))</f>
        <v>Option</v>
      </c>
      <c r="F69" s="18">
        <v>0.4375</v>
      </c>
      <c r="G69" s="3" t="s">
        <v>131</v>
      </c>
      <c r="H69" s="53">
        <v>1900</v>
      </c>
      <c r="I69" s="12">
        <v>9.5</v>
      </c>
      <c r="J69" s="50">
        <v>14.3</v>
      </c>
      <c r="K69" s="3">
        <v>8.6</v>
      </c>
      <c r="L69" s="17">
        <f t="shared" si="9"/>
        <v>18.05</v>
      </c>
      <c r="M69" s="17">
        <f t="shared" si="10"/>
        <v>27.17</v>
      </c>
      <c r="N69" s="40">
        <f t="shared" si="11"/>
        <v>9120</v>
      </c>
      <c r="O69" s="24">
        <f t="shared" si="12"/>
        <v>0.50526315789473686</v>
      </c>
      <c r="P69" s="3" t="s">
        <v>40</v>
      </c>
      <c r="Q69" s="31" t="str">
        <f t="shared" ref="Q69:Q132" si="15">IF(H69&lt;&gt;0,_xlfn.CONCAT(" Profit :  ",ROUND(O69*100,0)," % |  Rs. ",TEXT(ROUND(N69,1),"#,##,###"),     "  |  in ", P69,".
", I69,"--&gt;",J69," 
",ROUND(L69,1)," k --&gt; ",ROUND(M69,1),"k"," 
","Profit: Rs. ",TEXT(ROUND(N69,1),"#,##,###")," ( ",ROUND(O69*100,0)," % ) ","in ",P69," 
 #ST",TEXT(B69,"ddmmyy"),C69, "
Enjoy the Profits"),"")</f>
        <v xml:space="preserve"> Profit :  51 % |  Rs. 9,120  |  in 1 day.
9.5--&gt;14.3 
18.1 k --&gt; 27.2k 
Profit: Rs. 9,120 ( 51 % ) in 1 day 
 #ST09022603
Enjoy the Profits</v>
      </c>
      <c r="R69" s="3" t="str">
        <f t="shared" ref="R69:R132" si="16">IF(H69&lt;&gt;0,IF(O69&gt;1,(_xlfn.CONCAT(ROUND(O69*100,0)," % ","
",  "One more call with over ", ROUND(O69*100,0)," % returns  in  ", P69," 
", I69, "--&gt;", J69, " 
", ROUND(L69,1)," k --&gt; ", ROUND(M69,1),"k"," 
Profit: Rs. ",TEXT(ROUND(N69,1),"#,##,###")," ( ",ROUND(O69*100,0)," % )  in ",P69," 
 #ST",TEXT(B68, "ddmmyy"),C69)), _xlfn.CONCAT(I69, "--&gt;", J69, " 
", ROUND(L69,1)," k --&gt; ", ROUND(M69,1),"k"," 
","Profit: Rs. ",TEXT(ROUND(N69,1),"#,##,###")," ( ",ROUND(O69*100,0)," % ) ", "in ",P69," 
 #ST",TEXT(B68, "ddmmyy"),C69)
),"")</f>
        <v>9.5--&gt;14.3 
18.1 k --&gt; 27.2k 
Profit: Rs. 9,120 ( 51 % ) in 1 day 
 #ST09022603</v>
      </c>
      <c r="S69" s="3" t="str">
        <f t="shared" si="13"/>
        <v>#ST09022603</v>
      </c>
      <c r="X69"/>
      <c r="Z69" s="34"/>
    </row>
    <row r="70" spans="1:26" x14ac:dyDescent="0.35">
      <c r="A70" s="35">
        <v>67</v>
      </c>
      <c r="B70" s="15">
        <v>46062</v>
      </c>
      <c r="C70" s="1" t="s">
        <v>25</v>
      </c>
      <c r="E70" s="3" t="str">
        <f t="shared" si="14"/>
        <v>Option</v>
      </c>
      <c r="F70" s="18">
        <v>0.48472222222222222</v>
      </c>
      <c r="G70" s="3" t="s">
        <v>132</v>
      </c>
      <c r="H70" s="53">
        <v>1800</v>
      </c>
      <c r="I70" s="12">
        <v>10.6</v>
      </c>
      <c r="J70" s="50">
        <v>12</v>
      </c>
      <c r="K70" s="3">
        <v>9.5</v>
      </c>
      <c r="L70" s="17">
        <f t="shared" si="9"/>
        <v>19.079999999999998</v>
      </c>
      <c r="M70" s="17">
        <f t="shared" si="10"/>
        <v>21.6</v>
      </c>
      <c r="N70" s="40">
        <f t="shared" si="11"/>
        <v>2520</v>
      </c>
      <c r="O70" s="24">
        <f t="shared" si="12"/>
        <v>0.13207547169811323</v>
      </c>
      <c r="P70" s="3" t="s">
        <v>69</v>
      </c>
      <c r="Q70" s="31" t="str">
        <f t="shared" si="15"/>
        <v xml:space="preserve"> Profit :  13 % |  Rs. 2,520  |  in 37 min.
10.6--&gt;12 
19.1 k --&gt; 21.6k 
Profit: Rs. 2,520 ( 13 % ) in 37 min 
 #ST09022604
Enjoy the Profits</v>
      </c>
      <c r="R70" s="3" t="str">
        <f t="shared" si="16"/>
        <v>10.6--&gt;12 
19.1 k --&gt; 21.6k 
Profit: Rs. 2,520 ( 13 % ) in 37 min 
 #ST09022604</v>
      </c>
      <c r="S70" s="3" t="str">
        <f t="shared" si="13"/>
        <v>#ST09022604</v>
      </c>
      <c r="X70"/>
      <c r="Z70" s="34"/>
    </row>
    <row r="71" spans="1:26" x14ac:dyDescent="0.35">
      <c r="A71" s="35">
        <v>68</v>
      </c>
      <c r="B71" s="15">
        <v>46062</v>
      </c>
      <c r="C71" s="1" t="s">
        <v>26</v>
      </c>
      <c r="E71" s="3" t="str">
        <f t="shared" si="14"/>
        <v>Option</v>
      </c>
      <c r="F71" s="18">
        <v>0.4861111111111111</v>
      </c>
      <c r="G71" s="3" t="s">
        <v>133</v>
      </c>
      <c r="H71" s="53">
        <v>100</v>
      </c>
      <c r="I71" s="12">
        <v>137.5</v>
      </c>
      <c r="J71" s="50">
        <v>185</v>
      </c>
      <c r="L71" s="17">
        <f t="shared" si="9"/>
        <v>13.75</v>
      </c>
      <c r="M71" s="17">
        <f t="shared" si="10"/>
        <v>18.5</v>
      </c>
      <c r="N71" s="40">
        <f t="shared" si="11"/>
        <v>4750</v>
      </c>
      <c r="O71" s="24">
        <f t="shared" si="12"/>
        <v>0.34545454545454546</v>
      </c>
      <c r="P71" s="3" t="s">
        <v>33</v>
      </c>
      <c r="Q71" s="31" t="str">
        <f t="shared" si="15"/>
        <v xml:space="preserve"> Profit :  35 % |  Rs. 4,750  |  in 2 hours.
137.5--&gt;185 
13.8 k --&gt; 18.5k 
Profit: Rs. 4,750 ( 35 % ) in 2 hours 
 #ST09022605
Enjoy the Profits</v>
      </c>
      <c r="R71" s="3" t="str">
        <f t="shared" si="16"/>
        <v>137.5--&gt;185 
13.8 k --&gt; 18.5k 
Profit: Rs. 4,750 ( 35 % ) in 2 hours 
 #ST09022605</v>
      </c>
      <c r="S71" s="3" t="str">
        <f t="shared" si="13"/>
        <v>#ST09022605</v>
      </c>
      <c r="X71"/>
      <c r="Z71" s="34"/>
    </row>
    <row r="72" spans="1:26" x14ac:dyDescent="0.35">
      <c r="A72" s="35">
        <v>69</v>
      </c>
      <c r="B72" s="15">
        <v>46062</v>
      </c>
      <c r="C72" s="1" t="s">
        <v>27</v>
      </c>
      <c r="E72" s="3" t="str">
        <f t="shared" si="14"/>
        <v>Option</v>
      </c>
      <c r="F72" s="18">
        <v>0.125</v>
      </c>
      <c r="G72" s="3" t="s">
        <v>134</v>
      </c>
      <c r="H72" s="53">
        <v>3750</v>
      </c>
      <c r="I72" s="12">
        <v>5.3</v>
      </c>
      <c r="J72" s="50">
        <v>5.84</v>
      </c>
      <c r="K72" s="3">
        <v>4.8</v>
      </c>
      <c r="L72" s="17">
        <f t="shared" si="9"/>
        <v>19.875</v>
      </c>
      <c r="M72" s="17">
        <f t="shared" si="10"/>
        <v>21.9</v>
      </c>
      <c r="N72" s="40">
        <f t="shared" si="11"/>
        <v>2025</v>
      </c>
      <c r="O72" s="24">
        <f t="shared" si="12"/>
        <v>0.10188679245283019</v>
      </c>
      <c r="P72" s="3" t="s">
        <v>40</v>
      </c>
      <c r="Q72" s="31" t="str">
        <f t="shared" si="15"/>
        <v xml:space="preserve"> Profit :  10 % |  Rs. 2,025  |  in 1 day.
5.3--&gt;5.84 
19.9 k --&gt; 21.9k 
Profit: Rs. 2,025 ( 10 % ) in 1 day 
 #ST09022606
Enjoy the Profits</v>
      </c>
      <c r="R72" s="3" t="str">
        <f t="shared" si="16"/>
        <v>5.3--&gt;5.84 
19.9 k --&gt; 21.9k 
Profit: Rs. 2,025 ( 10 % ) in 1 day 
 #ST09022606</v>
      </c>
      <c r="S72" s="3" t="str">
        <f t="shared" si="13"/>
        <v>#ST09022606</v>
      </c>
      <c r="X72"/>
      <c r="Z72" s="34"/>
    </row>
    <row r="73" spans="1:26" x14ac:dyDescent="0.35">
      <c r="A73" s="35">
        <v>70</v>
      </c>
      <c r="B73" s="15">
        <v>46062</v>
      </c>
      <c r="C73" s="1" t="s">
        <v>29</v>
      </c>
      <c r="E73" s="3" t="str">
        <f t="shared" si="14"/>
        <v>Option</v>
      </c>
      <c r="F73" s="18">
        <v>0.14027777777777778</v>
      </c>
      <c r="G73" s="3" t="s">
        <v>135</v>
      </c>
      <c r="H73" s="53">
        <v>375</v>
      </c>
      <c r="I73" s="12">
        <v>45.55</v>
      </c>
      <c r="J73" s="50">
        <v>53</v>
      </c>
      <c r="L73" s="17">
        <f t="shared" si="9"/>
        <v>17.081250000000001</v>
      </c>
      <c r="M73" s="17">
        <f t="shared" si="10"/>
        <v>19.875</v>
      </c>
      <c r="N73" s="40">
        <f t="shared" si="11"/>
        <v>2794</v>
      </c>
      <c r="O73" s="24">
        <f t="shared" si="12"/>
        <v>0.16357116721551407</v>
      </c>
      <c r="P73" s="3" t="s">
        <v>21</v>
      </c>
      <c r="Q73" s="31" t="str">
        <f t="shared" si="15"/>
        <v xml:space="preserve"> Profit :  16 % |  Rs. 2,794  |  in Overnight.
45.55--&gt;53 
17.1 k --&gt; 19.9k 
Profit: Rs. 2,794 ( 16 % ) in Overnight 
 #ST09022607
Enjoy the Profits</v>
      </c>
      <c r="R73" s="3" t="str">
        <f t="shared" si="16"/>
        <v>45.55--&gt;53 
17.1 k --&gt; 19.9k 
Profit: Rs. 2,794 ( 16 % ) in Overnight 
 #ST09022607</v>
      </c>
      <c r="S73" s="3" t="str">
        <f t="shared" si="13"/>
        <v>#ST09022607</v>
      </c>
      <c r="X73"/>
      <c r="Z73" s="34"/>
    </row>
    <row r="74" spans="1:26" x14ac:dyDescent="0.35">
      <c r="A74" s="35">
        <v>71</v>
      </c>
      <c r="B74" s="15">
        <v>46062</v>
      </c>
      <c r="C74" s="1" t="s">
        <v>31</v>
      </c>
      <c r="D74" s="2">
        <v>46064</v>
      </c>
      <c r="E74" s="3" t="str">
        <f t="shared" si="14"/>
        <v>Option</v>
      </c>
      <c r="F74" s="18">
        <v>0.14444444444444443</v>
      </c>
      <c r="G74" s="3" t="s">
        <v>136</v>
      </c>
      <c r="H74" s="53">
        <v>175</v>
      </c>
      <c r="I74" s="12">
        <v>101.3</v>
      </c>
      <c r="J74" s="50">
        <v>150</v>
      </c>
      <c r="L74" s="17">
        <f t="shared" si="9"/>
        <v>17.727499999999999</v>
      </c>
      <c r="M74" s="17">
        <f t="shared" si="10"/>
        <v>26.25</v>
      </c>
      <c r="N74" s="40">
        <f t="shared" si="11"/>
        <v>8523</v>
      </c>
      <c r="O74" s="24">
        <f t="shared" si="12"/>
        <v>0.48077845155831334</v>
      </c>
      <c r="P74" s="3" t="s">
        <v>21</v>
      </c>
      <c r="Q74" s="31" t="str">
        <f t="shared" si="15"/>
        <v xml:space="preserve"> Profit :  48 % |  Rs. 8,523  |  in Overnight.
101.3--&gt;150 
17.7 k --&gt; 26.3k 
Profit: Rs. 8,523 ( 48 % ) in Overnight 
 #ST09022608
Enjoy the Profits</v>
      </c>
      <c r="R74" s="3" t="str">
        <f t="shared" si="16"/>
        <v>101.3--&gt;150 
17.7 k --&gt; 26.3k 
Profit: Rs. 8,523 ( 48 % ) in Overnight 
 #ST09022608</v>
      </c>
      <c r="S74" s="3" t="str">
        <f t="shared" si="13"/>
        <v>#ST09022608</v>
      </c>
      <c r="X74"/>
      <c r="Z74" s="34"/>
    </row>
    <row r="75" spans="1:26" x14ac:dyDescent="0.35">
      <c r="A75" s="35">
        <v>72</v>
      </c>
      <c r="B75" s="15">
        <v>46063</v>
      </c>
      <c r="C75" s="1" t="s">
        <v>23</v>
      </c>
      <c r="D75" s="12"/>
      <c r="E75" s="3" t="str">
        <f t="shared" si="14"/>
        <v>Option</v>
      </c>
      <c r="F75" s="18">
        <v>0.38750000000000001</v>
      </c>
      <c r="G75" s="3" t="s">
        <v>135</v>
      </c>
      <c r="H75" s="53">
        <v>375</v>
      </c>
      <c r="I75" s="12">
        <v>53</v>
      </c>
      <c r="J75" s="50">
        <v>56.7</v>
      </c>
      <c r="K75" s="3">
        <v>47</v>
      </c>
      <c r="L75" s="17">
        <f t="shared" si="9"/>
        <v>19.875</v>
      </c>
      <c r="M75" s="17">
        <f t="shared" si="10"/>
        <v>21.262499999999999</v>
      </c>
      <c r="N75" s="40">
        <f t="shared" si="11"/>
        <v>1388</v>
      </c>
      <c r="O75" s="24">
        <f t="shared" si="12"/>
        <v>6.9836477987421389E-2</v>
      </c>
      <c r="P75" s="3" t="s">
        <v>91</v>
      </c>
      <c r="Q75" s="31" t="str">
        <f t="shared" si="15"/>
        <v xml:space="preserve"> Profit :  7 % |  Rs. 1,388  |  in 4 min.
53--&gt;56.7 
19.9 k --&gt; 21.3k 
Profit: Rs. 1,388 ( 7 % ) in 4 min 
 #ST10022601
Enjoy the Profits</v>
      </c>
      <c r="R75" s="3" t="str">
        <f t="shared" si="16"/>
        <v>53--&gt;56.7 
19.9 k --&gt; 21.3k 
Profit: Rs. 1,388 ( 7 % ) in 4 min 
 #ST09022601</v>
      </c>
      <c r="S75" s="3" t="str">
        <f t="shared" si="13"/>
        <v>#ST10022601</v>
      </c>
      <c r="X75"/>
      <c r="Z75" s="34"/>
    </row>
    <row r="76" spans="1:26" x14ac:dyDescent="0.35">
      <c r="A76" s="35">
        <v>73</v>
      </c>
      <c r="B76" s="15">
        <v>46063</v>
      </c>
      <c r="C76" s="1" t="s">
        <v>20</v>
      </c>
      <c r="D76" s="12"/>
      <c r="E76" s="3" t="str">
        <f t="shared" si="14"/>
        <v>Option</v>
      </c>
      <c r="F76" s="18">
        <v>0.3888888888888889</v>
      </c>
      <c r="G76" s="3" t="s">
        <v>137</v>
      </c>
      <c r="H76" s="53">
        <v>375</v>
      </c>
      <c r="I76" s="12">
        <v>26.8</v>
      </c>
      <c r="J76" s="50">
        <v>27.7</v>
      </c>
      <c r="K76" s="3">
        <v>23</v>
      </c>
      <c r="L76" s="17">
        <f t="shared" si="9"/>
        <v>10.050000000000001</v>
      </c>
      <c r="M76" s="17">
        <f t="shared" si="10"/>
        <v>10.387499999999999</v>
      </c>
      <c r="N76" s="40">
        <f t="shared" si="11"/>
        <v>337</v>
      </c>
      <c r="O76" s="24">
        <f t="shared" si="12"/>
        <v>3.3532338308457713E-2</v>
      </c>
      <c r="P76" s="3" t="s">
        <v>49</v>
      </c>
      <c r="Q76" s="31" t="str">
        <f t="shared" si="15"/>
        <v xml:space="preserve"> Profit :  3 % |  Rs. 337  |  in 15 min.
26.8--&gt;27.7 
10.1 k --&gt; 10.4k 
Profit: Rs. 337 ( 3 % ) in 15 min 
 #ST10022602
Enjoy the Profits</v>
      </c>
      <c r="R76" s="3" t="str">
        <f t="shared" si="16"/>
        <v>26.8--&gt;27.7 
10.1 k --&gt; 10.4k 
Profit: Rs. 337 ( 3 % ) in 15 min 
 #ST10022602</v>
      </c>
      <c r="S76" s="3" t="str">
        <f t="shared" si="13"/>
        <v>#ST10022602</v>
      </c>
      <c r="X76"/>
      <c r="Z76" s="34"/>
    </row>
    <row r="77" spans="1:26" x14ac:dyDescent="0.35">
      <c r="A77" s="35">
        <v>74</v>
      </c>
      <c r="B77" s="15">
        <v>46063</v>
      </c>
      <c r="C77" s="1" t="s">
        <v>24</v>
      </c>
      <c r="D77" s="12"/>
      <c r="E77" s="3" t="str">
        <f t="shared" si="14"/>
        <v>Option</v>
      </c>
      <c r="F77" s="18">
        <v>0.39305555555555555</v>
      </c>
      <c r="G77" s="3" t="s">
        <v>138</v>
      </c>
      <c r="H77" s="53">
        <v>3750</v>
      </c>
      <c r="I77" s="12">
        <v>5.07</v>
      </c>
      <c r="J77" s="50">
        <v>5.54</v>
      </c>
      <c r="L77" s="17">
        <f t="shared" si="9"/>
        <v>19.012499999999999</v>
      </c>
      <c r="M77" s="17">
        <f t="shared" si="10"/>
        <v>20.774999999999999</v>
      </c>
      <c r="N77" s="40">
        <f t="shared" si="11"/>
        <v>1763</v>
      </c>
      <c r="O77" s="24">
        <f t="shared" si="12"/>
        <v>9.2728468113083509E-2</v>
      </c>
      <c r="P77" s="3" t="s">
        <v>66</v>
      </c>
      <c r="Q77" s="31" t="str">
        <f t="shared" si="15"/>
        <v xml:space="preserve"> Profit :  9 % |  Rs. 1,763  |  in 17 min.
5.07--&gt;5.54 
19 k --&gt; 20.8k 
Profit: Rs. 1,763 ( 9 % ) in 17 min 
 #ST10022603
Enjoy the Profits</v>
      </c>
      <c r="R77" s="3" t="str">
        <f t="shared" si="16"/>
        <v>5.07--&gt;5.54 
19 k --&gt; 20.8k 
Profit: Rs. 1,763 ( 9 % ) in 17 min 
 #ST10022603</v>
      </c>
      <c r="S77" s="3" t="str">
        <f t="shared" si="13"/>
        <v>#ST10022603</v>
      </c>
      <c r="X77"/>
      <c r="Z77" s="34"/>
    </row>
    <row r="78" spans="1:26" x14ac:dyDescent="0.35">
      <c r="A78" s="35">
        <v>75</v>
      </c>
      <c r="B78" s="15">
        <v>46063</v>
      </c>
      <c r="C78" s="1" t="s">
        <v>25</v>
      </c>
      <c r="D78" s="12"/>
      <c r="E78" s="3" t="str">
        <f t="shared" si="14"/>
        <v>Option</v>
      </c>
      <c r="F78" s="18">
        <v>0.41180555555555554</v>
      </c>
      <c r="G78" s="3" t="s">
        <v>139</v>
      </c>
      <c r="H78" s="53">
        <v>375</v>
      </c>
      <c r="I78" s="12">
        <v>42.9</v>
      </c>
      <c r="J78" s="50">
        <v>51.55</v>
      </c>
      <c r="L78" s="17">
        <f t="shared" si="9"/>
        <v>16.087499999999999</v>
      </c>
      <c r="M78" s="17">
        <f t="shared" si="10"/>
        <v>19.331250000000001</v>
      </c>
      <c r="N78" s="40">
        <f t="shared" si="11"/>
        <v>3244</v>
      </c>
      <c r="O78" s="24">
        <f t="shared" si="12"/>
        <v>0.20164724164724165</v>
      </c>
      <c r="P78" s="3" t="s">
        <v>87</v>
      </c>
      <c r="Q78" s="31" t="str">
        <f t="shared" si="15"/>
        <v xml:space="preserve"> Profit :  20 % |  Rs. 3,244  |  in 7 min.
42.9--&gt;51.55 
16.1 k --&gt; 19.3k 
Profit: Rs. 3,244 ( 20 % ) in 7 min 
 #ST10022604
Enjoy the Profits</v>
      </c>
      <c r="R78" s="3" t="str">
        <f t="shared" si="16"/>
        <v>42.9--&gt;51.55 
16.1 k --&gt; 19.3k 
Profit: Rs. 3,244 ( 20 % ) in 7 min 
 #ST10022604</v>
      </c>
      <c r="S78" s="3" t="str">
        <f t="shared" si="13"/>
        <v>#ST10022604</v>
      </c>
      <c r="X78"/>
      <c r="Z78" s="34"/>
    </row>
    <row r="79" spans="1:26" x14ac:dyDescent="0.35">
      <c r="A79" s="35">
        <v>76</v>
      </c>
      <c r="B79" s="15">
        <v>46063</v>
      </c>
      <c r="C79" s="1" t="s">
        <v>26</v>
      </c>
      <c r="D79" s="12"/>
      <c r="E79" s="3" t="str">
        <f t="shared" si="14"/>
        <v>Option</v>
      </c>
      <c r="F79" s="18">
        <v>0.13750000000000001</v>
      </c>
      <c r="G79" s="3" t="s">
        <v>142</v>
      </c>
      <c r="H79" s="53">
        <v>500</v>
      </c>
      <c r="I79" s="12">
        <v>26.2</v>
      </c>
      <c r="J79" s="50">
        <v>35.799999999999997</v>
      </c>
      <c r="L79" s="17">
        <f t="shared" si="9"/>
        <v>13.1</v>
      </c>
      <c r="M79" s="17">
        <f t="shared" si="10"/>
        <v>17.899999999999999</v>
      </c>
      <c r="N79" s="40">
        <f t="shared" si="11"/>
        <v>4800</v>
      </c>
      <c r="O79" s="24">
        <f t="shared" si="12"/>
        <v>0.36641221374045801</v>
      </c>
      <c r="P79" s="3" t="s">
        <v>21</v>
      </c>
      <c r="Q79" s="31" t="str">
        <f t="shared" si="15"/>
        <v xml:space="preserve"> Profit :  37 % |  Rs. 4,800  |  in Overnight.
26.2--&gt;35.8 
13.1 k --&gt; 17.9k 
Profit: Rs. 4,800 ( 37 % ) in Overnight 
 #ST10022605
Enjoy the Profits</v>
      </c>
      <c r="R79" s="3" t="str">
        <f t="shared" si="16"/>
        <v>26.2--&gt;35.8 
13.1 k --&gt; 17.9k 
Profit: Rs. 4,800 ( 37 % ) in Overnight 
 #ST10022605</v>
      </c>
      <c r="S79" s="3" t="str">
        <f t="shared" si="13"/>
        <v>#ST10022605</v>
      </c>
      <c r="X79"/>
      <c r="Z79" s="34"/>
    </row>
    <row r="80" spans="1:26" x14ac:dyDescent="0.35">
      <c r="A80" s="35">
        <v>77</v>
      </c>
      <c r="B80" s="15">
        <v>46064</v>
      </c>
      <c r="C80" s="1" t="s">
        <v>23</v>
      </c>
      <c r="D80" s="12"/>
      <c r="E80" s="3" t="str">
        <f t="shared" si="14"/>
        <v>Option</v>
      </c>
      <c r="F80" s="18">
        <v>0.39652777777777776</v>
      </c>
      <c r="G80" s="3" t="s">
        <v>140</v>
      </c>
      <c r="H80" s="53">
        <v>200</v>
      </c>
      <c r="I80" s="12">
        <v>98.9</v>
      </c>
      <c r="J80" s="50">
        <v>139</v>
      </c>
      <c r="L80" s="17">
        <f t="shared" si="9"/>
        <v>19.78</v>
      </c>
      <c r="M80" s="17">
        <f t="shared" ref="M80:M98" si="17">IF(H80&lt;&gt;0,H80*J80/1000,"")</f>
        <v>27.8</v>
      </c>
      <c r="N80" s="40">
        <f t="shared" ref="N80:N111" si="18">_xlfn.NUMBERVALUE(IF(H80&lt;&gt;0,TEXT(1000*(M80-L80),"#,##,###"),""))</f>
        <v>8020</v>
      </c>
      <c r="O80" s="24">
        <f t="shared" ref="O80:O111" si="19">IF(H80&lt;&gt;0, (N80/L80)/1000,"")</f>
        <v>0.40546006066734069</v>
      </c>
      <c r="P80" s="3" t="s">
        <v>58</v>
      </c>
      <c r="Q80" s="31" t="str">
        <f t="shared" si="15"/>
        <v xml:space="preserve"> Profit :  41 % |  Rs. 8,020  |  in 20 min.
98.9--&gt;139 
19.8 k --&gt; 27.8k 
Profit: Rs. 8,020 ( 41 % ) in 20 min 
 #ST11022601
Enjoy the Profits</v>
      </c>
      <c r="R80" s="3" t="str">
        <f t="shared" si="16"/>
        <v>98.9--&gt;139 
19.8 k --&gt; 27.8k 
Profit: Rs. 8,020 ( 41 % ) in 20 min 
 #ST10022601</v>
      </c>
      <c r="S80" s="3" t="str">
        <f t="shared" si="13"/>
        <v>#ST11022601</v>
      </c>
      <c r="X80"/>
      <c r="Z80" s="34"/>
    </row>
    <row r="81" spans="1:26" x14ac:dyDescent="0.35">
      <c r="A81" s="35">
        <v>78</v>
      </c>
      <c r="B81" s="15">
        <v>46064</v>
      </c>
      <c r="C81" s="1" t="s">
        <v>20</v>
      </c>
      <c r="D81" s="12"/>
      <c r="E81" s="3" t="str">
        <f t="shared" si="14"/>
        <v>Option</v>
      </c>
      <c r="F81" s="18">
        <v>0.39930555555555558</v>
      </c>
      <c r="G81" s="3" t="s">
        <v>141</v>
      </c>
      <c r="H81" s="53">
        <v>175</v>
      </c>
      <c r="I81" s="12">
        <v>67.45</v>
      </c>
      <c r="J81" s="50">
        <v>425</v>
      </c>
      <c r="L81" s="17">
        <f t="shared" si="9"/>
        <v>11.803750000000001</v>
      </c>
      <c r="M81" s="17">
        <f t="shared" si="17"/>
        <v>74.375</v>
      </c>
      <c r="N81" s="40">
        <f t="shared" si="18"/>
        <v>62571</v>
      </c>
      <c r="O81" s="24">
        <f t="shared" si="19"/>
        <v>5.3009424970877896</v>
      </c>
      <c r="P81" s="3" t="s">
        <v>40</v>
      </c>
      <c r="Q81" s="31" t="str">
        <f t="shared" si="15"/>
        <v xml:space="preserve"> Profit :  530 % |  Rs. 62,571  |  in 1 day.
67.45--&gt;425 
11.8 k --&gt; 74.4k 
Profit: Rs. 62,571 ( 530 % ) in 1 day 
 #ST11022602
Enjoy the Profits</v>
      </c>
      <c r="R81" s="3" t="str">
        <f t="shared" si="16"/>
        <v>530 % 
One more call with over 530 % returns  in  1 day 
67.45--&gt;425 
11.8 k --&gt; 74.4k 
Profit: Rs. 62,571 ( 530 % )  in 1 day 
 #ST11022602</v>
      </c>
      <c r="S81" s="3" t="str">
        <f t="shared" si="13"/>
        <v>#ST11022602</v>
      </c>
      <c r="X81"/>
      <c r="Z81" s="34"/>
    </row>
    <row r="82" spans="1:26" x14ac:dyDescent="0.35">
      <c r="A82" s="35">
        <v>79</v>
      </c>
      <c r="B82" s="15">
        <v>46064</v>
      </c>
      <c r="C82" s="1" t="s">
        <v>24</v>
      </c>
      <c r="D82" s="12"/>
      <c r="E82" s="3" t="str">
        <f t="shared" si="14"/>
        <v>Option</v>
      </c>
      <c r="F82" s="18">
        <v>0.11597222222222223</v>
      </c>
      <c r="G82" s="3" t="s">
        <v>144</v>
      </c>
      <c r="H82" s="53">
        <v>2250</v>
      </c>
      <c r="I82" s="12">
        <v>7.3</v>
      </c>
      <c r="J82" s="50">
        <v>11.1</v>
      </c>
      <c r="K82" s="3">
        <v>6.7</v>
      </c>
      <c r="L82" s="17">
        <f t="shared" si="9"/>
        <v>16.425000000000001</v>
      </c>
      <c r="M82" s="17">
        <f t="shared" si="17"/>
        <v>24.975000000000001</v>
      </c>
      <c r="N82" s="40">
        <f t="shared" si="18"/>
        <v>8550</v>
      </c>
      <c r="O82" s="24">
        <f t="shared" si="19"/>
        <v>0.52054794520547942</v>
      </c>
      <c r="P82" s="3" t="s">
        <v>49</v>
      </c>
      <c r="Q82" s="31" t="str">
        <f t="shared" si="15"/>
        <v xml:space="preserve"> Profit :  52 % |  Rs. 8,550  |  in 15 min.
7.3--&gt;11.1 
16.4 k --&gt; 25k 
Profit: Rs. 8,550 ( 52 % ) in 15 min 
 #ST11022603
Enjoy the Profits</v>
      </c>
      <c r="R82" s="3" t="str">
        <f t="shared" si="16"/>
        <v>7.3--&gt;11.1 
16.4 k --&gt; 25k 
Profit: Rs. 8,550 ( 52 % ) in 15 min 
 #ST11022603</v>
      </c>
      <c r="S82" s="3" t="str">
        <f t="shared" si="13"/>
        <v>#ST11022603</v>
      </c>
      <c r="X82"/>
      <c r="Z82" s="34"/>
    </row>
    <row r="83" spans="1:26" x14ac:dyDescent="0.35">
      <c r="A83" s="35">
        <v>80</v>
      </c>
      <c r="B83" s="15">
        <v>46064</v>
      </c>
      <c r="C83" s="1" t="s">
        <v>25</v>
      </c>
      <c r="D83" s="12"/>
      <c r="E83" s="3" t="str">
        <f t="shared" si="14"/>
        <v>Option</v>
      </c>
      <c r="F83" s="18">
        <v>0.11736111111111111</v>
      </c>
      <c r="G83" s="3" t="s">
        <v>143</v>
      </c>
      <c r="H83" s="53">
        <v>500</v>
      </c>
      <c r="I83" s="12">
        <v>35.25</v>
      </c>
      <c r="J83" s="50">
        <v>36.950000000000003</v>
      </c>
      <c r="K83" s="3">
        <v>32</v>
      </c>
      <c r="L83" s="17">
        <f t="shared" si="9"/>
        <v>17.625</v>
      </c>
      <c r="M83" s="17">
        <f t="shared" si="17"/>
        <v>18.475000000000001</v>
      </c>
      <c r="N83" s="40">
        <f t="shared" si="18"/>
        <v>850</v>
      </c>
      <c r="O83" s="24">
        <f t="shared" si="19"/>
        <v>4.8226950354609929E-2</v>
      </c>
      <c r="P83" s="3" t="s">
        <v>91</v>
      </c>
      <c r="Q83" s="31" t="str">
        <f t="shared" si="15"/>
        <v xml:space="preserve"> Profit :  5 % |  Rs. 850  |  in 4 min.
35.25--&gt;36.95 
17.6 k --&gt; 18.5k 
Profit: Rs. 850 ( 5 % ) in 4 min 
 #ST11022604
Enjoy the Profits</v>
      </c>
      <c r="R83" s="3" t="str">
        <f t="shared" si="16"/>
        <v>35.25--&gt;36.95 
17.6 k --&gt; 18.5k 
Profit: Rs. 850 ( 5 % ) in 4 min 
 #ST11022604</v>
      </c>
      <c r="S83" s="3" t="str">
        <f t="shared" si="13"/>
        <v>#ST11022604</v>
      </c>
      <c r="X83"/>
      <c r="Z83" s="34"/>
    </row>
    <row r="84" spans="1:26" x14ac:dyDescent="0.35">
      <c r="A84" s="35">
        <v>81</v>
      </c>
      <c r="B84" s="15">
        <v>46064</v>
      </c>
      <c r="C84" s="1" t="s">
        <v>26</v>
      </c>
      <c r="D84" s="12"/>
      <c r="E84" s="3" t="str">
        <f t="shared" si="14"/>
        <v>Stock</v>
      </c>
      <c r="F84" s="18">
        <v>0.12013888888888889</v>
      </c>
      <c r="G84" s="3" t="s">
        <v>146</v>
      </c>
      <c r="H84" s="53">
        <v>1</v>
      </c>
      <c r="I84" s="12">
        <v>1687</v>
      </c>
      <c r="J84" s="50"/>
      <c r="L84" s="17">
        <f t="shared" si="9"/>
        <v>1.6870000000000001</v>
      </c>
      <c r="M84" s="17">
        <f t="shared" si="17"/>
        <v>0</v>
      </c>
      <c r="N84" s="40">
        <f t="shared" si="18"/>
        <v>-1687</v>
      </c>
      <c r="O84" s="24">
        <f t="shared" si="19"/>
        <v>-1</v>
      </c>
      <c r="Q84" s="31" t="str">
        <f t="shared" si="15"/>
        <v xml:space="preserve"> Profit :  -100 % |  Rs. -1,687  |  in .
1687--&gt; 
1.7 k --&gt; 0k 
Profit: Rs. -1,687 ( -100 % ) in  
 #ST11022605
Enjoy the Profits</v>
      </c>
      <c r="R84" s="3" t="str">
        <f t="shared" si="16"/>
        <v>1687--&gt; 
1.7 k --&gt; 0k 
Profit: Rs. -1,687 ( -100 % ) in  
 #ST11022605</v>
      </c>
      <c r="S84" s="3" t="str">
        <f t="shared" si="13"/>
        <v>#ST11022605</v>
      </c>
      <c r="X84"/>
      <c r="Z84" s="34"/>
    </row>
    <row r="85" spans="1:26" x14ac:dyDescent="0.35">
      <c r="A85" s="35">
        <v>82</v>
      </c>
      <c r="B85" s="15">
        <v>46064</v>
      </c>
      <c r="C85" s="1" t="s">
        <v>27</v>
      </c>
      <c r="D85" s="49">
        <v>46065</v>
      </c>
      <c r="E85" s="3" t="str">
        <f t="shared" si="14"/>
        <v>Option</v>
      </c>
      <c r="F85" s="18">
        <v>0.1388888888888889</v>
      </c>
      <c r="G85" s="3" t="s">
        <v>133</v>
      </c>
      <c r="H85" s="53">
        <v>100</v>
      </c>
      <c r="I85" s="12">
        <v>164.75</v>
      </c>
      <c r="J85" s="50">
        <v>217.6</v>
      </c>
      <c r="L85" s="17">
        <f t="shared" si="9"/>
        <v>16.475000000000001</v>
      </c>
      <c r="M85" s="17">
        <f t="shared" si="17"/>
        <v>21.76</v>
      </c>
      <c r="N85" s="40">
        <f t="shared" si="18"/>
        <v>5285</v>
      </c>
      <c r="O85" s="24">
        <f t="shared" si="19"/>
        <v>0.32078907435508341</v>
      </c>
      <c r="P85" s="3" t="s">
        <v>21</v>
      </c>
      <c r="Q85" s="31" t="str">
        <f t="shared" si="15"/>
        <v xml:space="preserve"> Profit :  32 % |  Rs. 5,285  |  in Overnight.
164.75--&gt;217.6 
16.5 k --&gt; 21.8k 
Profit: Rs. 5,285 ( 32 % ) in Overnight 
 #ST11022606
Enjoy the Profits</v>
      </c>
      <c r="R85" s="3" t="str">
        <f t="shared" si="16"/>
        <v>164.75--&gt;217.6 
16.5 k --&gt; 21.8k 
Profit: Rs. 5,285 ( 32 % ) in Overnight 
 #ST11022606</v>
      </c>
      <c r="S85" s="3" t="str">
        <f t="shared" si="13"/>
        <v>#ST11022606</v>
      </c>
      <c r="X85"/>
      <c r="Z85" s="34"/>
    </row>
    <row r="86" spans="1:26" x14ac:dyDescent="0.35">
      <c r="A86" s="35">
        <v>83</v>
      </c>
      <c r="B86" s="15">
        <v>46064</v>
      </c>
      <c r="C86" s="1" t="s">
        <v>29</v>
      </c>
      <c r="D86" s="12"/>
      <c r="E86" s="3" t="str">
        <f t="shared" si="14"/>
        <v>Option</v>
      </c>
      <c r="F86" s="18">
        <v>0.14097222222222222</v>
      </c>
      <c r="G86" s="3" t="s">
        <v>145</v>
      </c>
      <c r="H86" s="53">
        <v>400</v>
      </c>
      <c r="I86" s="12">
        <v>50.75</v>
      </c>
      <c r="J86" s="50">
        <v>217</v>
      </c>
      <c r="L86" s="17">
        <f t="shared" si="9"/>
        <v>20.3</v>
      </c>
      <c r="M86" s="17">
        <f t="shared" si="17"/>
        <v>86.8</v>
      </c>
      <c r="N86" s="40">
        <f t="shared" si="18"/>
        <v>66500</v>
      </c>
      <c r="O86" s="24">
        <f t="shared" si="19"/>
        <v>3.2758620689655173</v>
      </c>
      <c r="P86" s="3" t="s">
        <v>52</v>
      </c>
      <c r="Q86" s="31" t="str">
        <f t="shared" si="15"/>
        <v xml:space="preserve"> Profit :  328 % |  Rs. 66,500  |  in overnight.
50.75--&gt;217 
20.3 k --&gt; 86.8k 
Profit: Rs. 66,500 ( 328 % ) in overnight 
 #ST11022607
Enjoy the Profits</v>
      </c>
      <c r="R86" s="3" t="str">
        <f t="shared" si="16"/>
        <v>328 % 
One more call with over 328 % returns  in  overnight 
50.75--&gt;217 
20.3 k --&gt; 86.8k 
Profit: Rs. 66,500 ( 328 % )  in overnight 
 #ST11022607</v>
      </c>
      <c r="S86" s="3" t="str">
        <f t="shared" si="13"/>
        <v>#ST11022607</v>
      </c>
      <c r="X86"/>
      <c r="Z86" s="34"/>
    </row>
    <row r="87" spans="1:26" x14ac:dyDescent="0.35">
      <c r="A87" s="35">
        <v>84</v>
      </c>
      <c r="B87" s="15">
        <v>46065</v>
      </c>
      <c r="C87" s="1" t="s">
        <v>23</v>
      </c>
      <c r="D87" s="12"/>
      <c r="E87" s="3" t="str">
        <f t="shared" si="14"/>
        <v>Option</v>
      </c>
      <c r="F87" s="18">
        <v>0.4201388888888889</v>
      </c>
      <c r="G87" s="3" t="s">
        <v>148</v>
      </c>
      <c r="H87" s="53">
        <v>625</v>
      </c>
      <c r="I87" s="12">
        <v>27.5</v>
      </c>
      <c r="J87" s="50">
        <v>28</v>
      </c>
      <c r="K87" s="3">
        <v>24</v>
      </c>
      <c r="L87" s="17">
        <f t="shared" si="9"/>
        <v>17.1875</v>
      </c>
      <c r="M87" s="17">
        <f t="shared" si="17"/>
        <v>17.5</v>
      </c>
      <c r="N87" s="40">
        <f t="shared" si="18"/>
        <v>313</v>
      </c>
      <c r="O87" s="24">
        <f t="shared" si="19"/>
        <v>1.821090909090909E-2</v>
      </c>
      <c r="P87" s="3" t="s">
        <v>33</v>
      </c>
      <c r="Q87" s="31" t="str">
        <f t="shared" si="15"/>
        <v xml:space="preserve"> Profit :  2 % |  Rs. 313  |  in 2 hours.
27.5--&gt;28 
17.2 k --&gt; 17.5k 
Profit: Rs. 313 ( 2 % ) in 2 hours 
 #ST12022601
Enjoy the Profits</v>
      </c>
      <c r="R87" s="3" t="str">
        <f t="shared" si="16"/>
        <v>27.5--&gt;28 
17.2 k --&gt; 17.5k 
Profit: Rs. 313 ( 2 % ) in 2 hours 
 #ST11022601</v>
      </c>
      <c r="S87" s="3" t="str">
        <f t="shared" si="13"/>
        <v>#ST12022601</v>
      </c>
      <c r="X87"/>
      <c r="Z87" s="34"/>
    </row>
    <row r="88" spans="1:26" x14ac:dyDescent="0.35">
      <c r="A88" s="35">
        <v>85</v>
      </c>
      <c r="B88" s="15">
        <v>46065</v>
      </c>
      <c r="C88" s="1" t="s">
        <v>20</v>
      </c>
      <c r="D88" s="12"/>
      <c r="E88" s="3" t="str">
        <f t="shared" si="14"/>
        <v>Option</v>
      </c>
      <c r="F88" s="18">
        <v>0.42291666666666666</v>
      </c>
      <c r="G88" s="3" t="s">
        <v>147</v>
      </c>
      <c r="H88" s="53">
        <v>75</v>
      </c>
      <c r="I88" s="12">
        <v>224</v>
      </c>
      <c r="J88" s="52">
        <v>638</v>
      </c>
      <c r="K88" s="3">
        <v>195</v>
      </c>
      <c r="L88" s="17">
        <f t="shared" si="9"/>
        <v>16.8</v>
      </c>
      <c r="M88" s="17">
        <f t="shared" si="17"/>
        <v>47.85</v>
      </c>
      <c r="N88" s="40">
        <f t="shared" si="18"/>
        <v>31050</v>
      </c>
      <c r="O88" s="24">
        <f t="shared" si="19"/>
        <v>1.8482142857142856</v>
      </c>
      <c r="P88" s="3" t="s">
        <v>40</v>
      </c>
      <c r="Q88" s="31" t="str">
        <f t="shared" si="15"/>
        <v xml:space="preserve"> Profit :  185 % |  Rs. 31,050  |  in 1 day.
224--&gt;638 
16.8 k --&gt; 47.9k 
Profit: Rs. 31,050 ( 185 % ) in 1 day 
 #ST12022602
Enjoy the Profits</v>
      </c>
      <c r="R88" s="3" t="str">
        <f t="shared" si="16"/>
        <v>185 % 
One more call with over 185 % returns  in  1 day 
224--&gt;638 
16.8 k --&gt; 47.9k 
Profit: Rs. 31,050 ( 185 % )  in 1 day 
 #ST12022602</v>
      </c>
      <c r="S88" s="3" t="str">
        <f t="shared" si="13"/>
        <v>#ST12022602</v>
      </c>
      <c r="X88"/>
      <c r="Z88" s="34"/>
    </row>
    <row r="89" spans="1:26" x14ac:dyDescent="0.35">
      <c r="A89" s="35">
        <v>86</v>
      </c>
      <c r="B89" s="15">
        <v>46065</v>
      </c>
      <c r="C89" s="1" t="s">
        <v>24</v>
      </c>
      <c r="D89" s="12"/>
      <c r="E89" s="3" t="str">
        <f t="shared" si="14"/>
        <v>Option</v>
      </c>
      <c r="F89" s="18">
        <v>0.46041666666666664</v>
      </c>
      <c r="G89" s="3" t="s">
        <v>149</v>
      </c>
      <c r="H89" s="53">
        <v>30</v>
      </c>
      <c r="I89" s="12">
        <v>394.65</v>
      </c>
      <c r="J89" s="50">
        <v>730</v>
      </c>
      <c r="K89" s="3">
        <v>375</v>
      </c>
      <c r="L89" s="17">
        <f t="shared" si="9"/>
        <v>11.839499999999999</v>
      </c>
      <c r="M89" s="17">
        <f t="shared" si="17"/>
        <v>21.9</v>
      </c>
      <c r="N89" s="40">
        <f t="shared" si="18"/>
        <v>10061</v>
      </c>
      <c r="O89" s="24">
        <f t="shared" si="19"/>
        <v>0.84978250770725117</v>
      </c>
      <c r="P89" s="3" t="s">
        <v>40</v>
      </c>
      <c r="Q89" s="31" t="str">
        <f t="shared" si="15"/>
        <v xml:space="preserve"> Profit :  85 % |  Rs. 10,061  |  in 1 day.
394.65--&gt;730 
11.8 k --&gt; 21.9k 
Profit: Rs. 10,061 ( 85 % ) in 1 day 
 #ST12022603
Enjoy the Profits</v>
      </c>
      <c r="R89" s="3" t="str">
        <f t="shared" si="16"/>
        <v>394.65--&gt;730 
11.8 k --&gt; 21.9k 
Profit: Rs. 10,061 ( 85 % ) in 1 day 
 #ST12022603</v>
      </c>
      <c r="S89" s="3" t="str">
        <f t="shared" si="13"/>
        <v>#ST12022603</v>
      </c>
      <c r="X89"/>
      <c r="Z89" s="34"/>
    </row>
    <row r="90" spans="1:26" x14ac:dyDescent="0.35">
      <c r="A90" s="35">
        <v>87</v>
      </c>
      <c r="B90" s="15">
        <v>46065</v>
      </c>
      <c r="C90" s="1" t="s">
        <v>25</v>
      </c>
      <c r="E90" s="3" t="str">
        <f t="shared" si="14"/>
        <v>Option</v>
      </c>
      <c r="F90" s="18">
        <v>0.1423611111111111</v>
      </c>
      <c r="G90" s="3" t="s">
        <v>150</v>
      </c>
      <c r="H90" s="53">
        <v>1425</v>
      </c>
      <c r="I90" s="12">
        <v>12.5</v>
      </c>
      <c r="J90" s="50">
        <v>13.8</v>
      </c>
      <c r="L90" s="17">
        <f t="shared" si="9"/>
        <v>17.8125</v>
      </c>
      <c r="M90" s="17">
        <f t="shared" si="17"/>
        <v>19.664999999999999</v>
      </c>
      <c r="N90" s="40">
        <f t="shared" si="18"/>
        <v>1853</v>
      </c>
      <c r="O90" s="24">
        <f t="shared" si="19"/>
        <v>0.10402807017543859</v>
      </c>
      <c r="Q90" s="31" t="str">
        <f t="shared" si="15"/>
        <v xml:space="preserve"> Profit :  10 % |  Rs. 1,853  |  in .
12.5--&gt;13.8 
17.8 k --&gt; 19.7k 
Profit: Rs. 1,853 ( 10 % ) in  
 #ST12022604
Enjoy the Profits</v>
      </c>
      <c r="R90" s="3" t="str">
        <f t="shared" si="16"/>
        <v>12.5--&gt;13.8 
17.8 k --&gt; 19.7k 
Profit: Rs. 1,853 ( 10 % ) in  
 #ST12022604</v>
      </c>
      <c r="S90" s="3" t="str">
        <f t="shared" si="13"/>
        <v>#ST12022604</v>
      </c>
      <c r="X90"/>
      <c r="Z90" s="34"/>
    </row>
    <row r="91" spans="1:26" x14ac:dyDescent="0.35">
      <c r="A91" s="35">
        <v>88</v>
      </c>
      <c r="B91" s="15">
        <v>46065</v>
      </c>
      <c r="C91" s="1" t="s">
        <v>26</v>
      </c>
      <c r="E91" s="3" t="str">
        <f t="shared" si="14"/>
        <v>Option</v>
      </c>
      <c r="F91" s="18">
        <v>0.1451388888888889</v>
      </c>
      <c r="G91" s="3" t="s">
        <v>151</v>
      </c>
      <c r="H91" s="53">
        <v>200</v>
      </c>
      <c r="I91" s="12">
        <v>73.099999999999994</v>
      </c>
      <c r="J91" s="50">
        <v>109.85</v>
      </c>
      <c r="L91" s="17">
        <f t="shared" si="9"/>
        <v>14.619999999999997</v>
      </c>
      <c r="M91" s="17">
        <f t="shared" si="17"/>
        <v>21.97</v>
      </c>
      <c r="N91" s="40">
        <f t="shared" si="18"/>
        <v>7350</v>
      </c>
      <c r="O91" s="24">
        <f t="shared" si="19"/>
        <v>0.50273597811217519</v>
      </c>
      <c r="P91" s="3" t="s">
        <v>21</v>
      </c>
      <c r="Q91" s="31" t="str">
        <f t="shared" si="15"/>
        <v xml:space="preserve"> Profit :  50 % |  Rs. 7,350  |  in Overnight.
73.1--&gt;109.85 
14.6 k --&gt; 22k 
Profit: Rs. 7,350 ( 50 % ) in Overnight 
 #ST12022605
Enjoy the Profits</v>
      </c>
      <c r="R91" s="3" t="str">
        <f t="shared" si="16"/>
        <v>73.1--&gt;109.85 
14.6 k --&gt; 22k 
Profit: Rs. 7,350 ( 50 % ) in Overnight 
 #ST12022605</v>
      </c>
      <c r="S91" s="3" t="str">
        <f t="shared" si="13"/>
        <v>#ST12022605</v>
      </c>
      <c r="X91"/>
      <c r="Z91" s="34"/>
    </row>
    <row r="92" spans="1:26" x14ac:dyDescent="0.35">
      <c r="A92" s="35">
        <v>89</v>
      </c>
      <c r="B92" s="15">
        <v>46066</v>
      </c>
      <c r="C92" s="1" t="s">
        <v>23</v>
      </c>
      <c r="E92" s="3" t="str">
        <f t="shared" si="14"/>
        <v>Option</v>
      </c>
      <c r="F92" s="18">
        <v>0.38958333333333334</v>
      </c>
      <c r="G92" s="3" t="s">
        <v>158</v>
      </c>
      <c r="H92" s="53">
        <v>800</v>
      </c>
      <c r="I92" s="12">
        <v>23.1</v>
      </c>
      <c r="J92" s="50">
        <v>40</v>
      </c>
      <c r="L92" s="17">
        <f t="shared" si="9"/>
        <v>18.48</v>
      </c>
      <c r="M92" s="17">
        <f t="shared" si="17"/>
        <v>32</v>
      </c>
      <c r="N92" s="40">
        <f t="shared" si="18"/>
        <v>13520</v>
      </c>
      <c r="O92" s="24">
        <f t="shared" si="19"/>
        <v>0.73160173160173159</v>
      </c>
      <c r="P92" s="3" t="s">
        <v>36</v>
      </c>
      <c r="Q92" s="31" t="str">
        <f t="shared" si="15"/>
        <v xml:space="preserve"> Profit :  73 % |  Rs. 13,520  |  in 1 hour.
23.1--&gt;40 
18.5 k --&gt; 32k 
Profit: Rs. 13,520 ( 73 % ) in 1 hour 
 #ST13022601
Enjoy the Profits</v>
      </c>
      <c r="R92" s="3" t="str">
        <f t="shared" si="16"/>
        <v>23.1--&gt;40 
18.5 k --&gt; 32k 
Profit: Rs. 13,520 ( 73 % ) in 1 hour 
 #ST12022601</v>
      </c>
      <c r="S92" s="3" t="str">
        <f t="shared" si="13"/>
        <v>#ST13022601</v>
      </c>
      <c r="X92"/>
      <c r="Z92" s="34"/>
    </row>
    <row r="93" spans="1:26" x14ac:dyDescent="0.35">
      <c r="A93" s="35">
        <v>90</v>
      </c>
      <c r="B93" s="15">
        <v>46066</v>
      </c>
      <c r="C93" s="1" t="s">
        <v>20</v>
      </c>
      <c r="E93" s="3" t="str">
        <f t="shared" si="14"/>
        <v>Option</v>
      </c>
      <c r="F93" s="18">
        <v>0.39305555555555555</v>
      </c>
      <c r="G93" s="3" t="s">
        <v>157</v>
      </c>
      <c r="H93" s="53">
        <v>750</v>
      </c>
      <c r="I93" s="12">
        <v>24.5</v>
      </c>
      <c r="J93" s="50">
        <v>27</v>
      </c>
      <c r="L93" s="17">
        <f t="shared" si="9"/>
        <v>18.375</v>
      </c>
      <c r="M93" s="17">
        <f t="shared" si="17"/>
        <v>20.25</v>
      </c>
      <c r="N93" s="40">
        <f t="shared" si="18"/>
        <v>1875</v>
      </c>
      <c r="O93" s="24">
        <f t="shared" si="19"/>
        <v>0.10204081632653061</v>
      </c>
      <c r="P93" s="3" t="s">
        <v>64</v>
      </c>
      <c r="Q93" s="31" t="str">
        <f t="shared" si="15"/>
        <v xml:space="preserve"> Profit :  10 % |  Rs. 1,875  |  in 13 min.
24.5--&gt;27 
18.4 k --&gt; 20.3k 
Profit: Rs. 1,875 ( 10 % ) in 13 min 
 #ST13022602
Enjoy the Profits</v>
      </c>
      <c r="R93" s="3" t="str">
        <f t="shared" si="16"/>
        <v>24.5--&gt;27 
18.4 k --&gt; 20.3k 
Profit: Rs. 1,875 ( 10 % ) in 13 min 
 #ST13022602</v>
      </c>
      <c r="S93" s="3" t="str">
        <f t="shared" si="13"/>
        <v>#ST13022602</v>
      </c>
      <c r="X93"/>
      <c r="Z93" s="34"/>
    </row>
    <row r="94" spans="1:26" x14ac:dyDescent="0.35">
      <c r="A94" s="35">
        <v>91</v>
      </c>
      <c r="B94" s="15">
        <v>46066</v>
      </c>
      <c r="C94" s="1" t="s">
        <v>24</v>
      </c>
      <c r="E94" s="3" t="str">
        <f t="shared" si="14"/>
        <v>Option</v>
      </c>
      <c r="F94" s="18">
        <v>0.1388888888888889</v>
      </c>
      <c r="G94" s="3" t="s">
        <v>160</v>
      </c>
      <c r="H94" s="53">
        <v>5500</v>
      </c>
      <c r="I94" s="12">
        <v>2.77</v>
      </c>
      <c r="J94" s="50">
        <v>3.78</v>
      </c>
      <c r="L94" s="17">
        <f t="shared" si="9"/>
        <v>15.234999999999999</v>
      </c>
      <c r="M94" s="17">
        <f t="shared" si="17"/>
        <v>20.79</v>
      </c>
      <c r="N94" s="40">
        <f t="shared" si="18"/>
        <v>5555</v>
      </c>
      <c r="O94" s="24">
        <f t="shared" si="19"/>
        <v>0.36462093862815886</v>
      </c>
      <c r="P94" s="3" t="s">
        <v>21</v>
      </c>
      <c r="Q94" s="31" t="str">
        <f t="shared" si="15"/>
        <v xml:space="preserve"> Profit :  36 % |  Rs. 5,555  |  in Overnight.
2.77--&gt;3.78 
15.2 k --&gt; 20.8k 
Profit: Rs. 5,555 ( 36 % ) in Overnight 
 #ST13022603
Enjoy the Profits</v>
      </c>
      <c r="R94" s="3" t="str">
        <f t="shared" si="16"/>
        <v>2.77--&gt;3.78 
15.2 k --&gt; 20.8k 
Profit: Rs. 5,555 ( 36 % ) in Overnight 
 #ST13022603</v>
      </c>
      <c r="S94" s="3" t="str">
        <f t="shared" si="13"/>
        <v>#ST13022603</v>
      </c>
      <c r="X94"/>
      <c r="Z94" s="34"/>
    </row>
    <row r="95" spans="1:26" x14ac:dyDescent="0.35">
      <c r="A95" s="35">
        <v>92</v>
      </c>
      <c r="B95" s="15">
        <v>46066</v>
      </c>
      <c r="C95" s="1" t="s">
        <v>25</v>
      </c>
      <c r="E95" s="3" t="str">
        <f t="shared" si="14"/>
        <v>Option</v>
      </c>
      <c r="F95" s="18">
        <v>0.14374999999999999</v>
      </c>
      <c r="G95" s="3" t="s">
        <v>159</v>
      </c>
      <c r="H95" s="53">
        <v>740</v>
      </c>
      <c r="I95" s="12">
        <v>23.25</v>
      </c>
      <c r="J95" s="50">
        <v>24.45</v>
      </c>
      <c r="L95" s="17">
        <f t="shared" si="9"/>
        <v>17.204999999999998</v>
      </c>
      <c r="M95" s="17">
        <f t="shared" si="17"/>
        <v>18.093</v>
      </c>
      <c r="N95" s="40">
        <f t="shared" si="18"/>
        <v>888</v>
      </c>
      <c r="O95" s="24">
        <f t="shared" si="19"/>
        <v>5.1612903225806459E-2</v>
      </c>
      <c r="Q95" s="31" t="str">
        <f t="shared" si="15"/>
        <v xml:space="preserve"> Profit :  5 % |  Rs. 888  |  in .
23.25--&gt;24.45 
17.2 k --&gt; 18.1k 
Profit: Rs. 888 ( 5 % ) in  
 #ST13022604
Enjoy the Profits</v>
      </c>
      <c r="R95" s="3" t="str">
        <f t="shared" si="16"/>
        <v>23.25--&gt;24.45 
17.2 k --&gt; 18.1k 
Profit: Rs. 888 ( 5 % ) in  
 #ST13022604</v>
      </c>
      <c r="S95" s="3" t="str">
        <f t="shared" si="13"/>
        <v>#ST13022604</v>
      </c>
      <c r="X95"/>
      <c r="Z95" s="34"/>
    </row>
    <row r="96" spans="1:26" x14ac:dyDescent="0.35">
      <c r="A96" s="35">
        <v>93</v>
      </c>
      <c r="B96" s="15">
        <v>46069</v>
      </c>
      <c r="C96" s="1" t="s">
        <v>23</v>
      </c>
      <c r="E96" s="3" t="str">
        <f t="shared" si="14"/>
        <v>Option</v>
      </c>
      <c r="F96" s="18">
        <v>0.4</v>
      </c>
      <c r="G96" s="3" t="s">
        <v>162</v>
      </c>
      <c r="H96" s="53">
        <v>50</v>
      </c>
      <c r="I96" s="12">
        <v>326.39999999999998</v>
      </c>
      <c r="J96" s="50">
        <v>400</v>
      </c>
      <c r="K96" s="3">
        <v>300</v>
      </c>
      <c r="L96" s="17">
        <f t="shared" si="9"/>
        <v>16.319999999999997</v>
      </c>
      <c r="M96" s="17">
        <f t="shared" si="17"/>
        <v>20</v>
      </c>
      <c r="N96" s="40">
        <f t="shared" si="18"/>
        <v>3680</v>
      </c>
      <c r="O96" s="24">
        <f t="shared" si="19"/>
        <v>0.2254901960784314</v>
      </c>
      <c r="P96" s="3" t="s">
        <v>57</v>
      </c>
      <c r="Q96" s="31" t="str">
        <f t="shared" si="15"/>
        <v xml:space="preserve"> Profit :  23 % |  Rs. 3,680  |  in 25 min.
326.4--&gt;400 
16.3 k --&gt; 20k 
Profit: Rs. 3,680 ( 23 % ) in 25 min 
 #ST16022601
Enjoy the Profits</v>
      </c>
      <c r="R96" s="3" t="str">
        <f t="shared" si="16"/>
        <v>326.4--&gt;400 
16.3 k --&gt; 20k 
Profit: Rs. 3,680 ( 23 % ) in 25 min 
 #ST13022601</v>
      </c>
      <c r="S96" s="3" t="str">
        <f t="shared" si="13"/>
        <v>#ST16022601</v>
      </c>
      <c r="X96"/>
      <c r="Z96" s="34"/>
    </row>
    <row r="97" spans="1:26" x14ac:dyDescent="0.35">
      <c r="A97" s="35">
        <v>94</v>
      </c>
      <c r="B97" s="15">
        <v>46069</v>
      </c>
      <c r="C97" s="1" t="s">
        <v>20</v>
      </c>
      <c r="E97" s="3" t="str">
        <f t="shared" si="14"/>
        <v>Option</v>
      </c>
      <c r="F97" s="18">
        <v>0.40069444444444446</v>
      </c>
      <c r="G97" s="3" t="s">
        <v>161</v>
      </c>
      <c r="H97" s="53">
        <v>500</v>
      </c>
      <c r="I97" s="12">
        <v>39.299999999999997</v>
      </c>
      <c r="J97" s="50">
        <v>44</v>
      </c>
      <c r="K97" s="3">
        <v>36</v>
      </c>
      <c r="L97" s="17">
        <f t="shared" si="9"/>
        <v>19.649999999999999</v>
      </c>
      <c r="M97" s="17">
        <f t="shared" si="17"/>
        <v>22</v>
      </c>
      <c r="N97" s="40">
        <f t="shared" si="18"/>
        <v>2350</v>
      </c>
      <c r="O97" s="24">
        <f t="shared" si="19"/>
        <v>0.11959287531806616</v>
      </c>
      <c r="P97" s="3" t="s">
        <v>38</v>
      </c>
      <c r="Q97" s="31" t="str">
        <f t="shared" si="15"/>
        <v xml:space="preserve"> Profit :  12 % |  Rs. 2,350  |  in 6 min.
39.3--&gt;44 
19.7 k --&gt; 22k 
Profit: Rs. 2,350 ( 12 % ) in 6 min 
 #ST16022602
Enjoy the Profits</v>
      </c>
      <c r="R97" s="3" t="str">
        <f t="shared" si="16"/>
        <v>39.3--&gt;44 
19.7 k --&gt; 22k 
Profit: Rs. 2,350 ( 12 % ) in 6 min 
 #ST16022602</v>
      </c>
      <c r="S97" s="3" t="str">
        <f t="shared" si="13"/>
        <v>#ST16022602</v>
      </c>
      <c r="X97"/>
      <c r="Z97" s="34"/>
    </row>
    <row r="98" spans="1:26" x14ac:dyDescent="0.35">
      <c r="A98" s="35">
        <v>95</v>
      </c>
      <c r="B98" s="15">
        <v>46069</v>
      </c>
      <c r="C98" s="1" t="s">
        <v>24</v>
      </c>
      <c r="E98" s="3" t="str">
        <f t="shared" si="14"/>
        <v>Stock</v>
      </c>
      <c r="F98" s="18">
        <v>0.38680555555555557</v>
      </c>
      <c r="G98" s="3" t="s">
        <v>166</v>
      </c>
      <c r="H98" s="53">
        <v>1</v>
      </c>
      <c r="I98" s="12">
        <v>195</v>
      </c>
      <c r="J98" s="50">
        <v>76</v>
      </c>
      <c r="L98" s="17">
        <f t="shared" si="9"/>
        <v>0.19500000000000001</v>
      </c>
      <c r="M98" s="17">
        <f t="shared" si="17"/>
        <v>7.5999999999999998E-2</v>
      </c>
      <c r="N98" s="40">
        <f t="shared" si="18"/>
        <v>-119</v>
      </c>
      <c r="O98" s="24">
        <f t="shared" si="19"/>
        <v>-0.61025641025641031</v>
      </c>
      <c r="P98" s="3" t="s">
        <v>42</v>
      </c>
      <c r="Q98" s="31" t="str">
        <f t="shared" si="15"/>
        <v xml:space="preserve"> Profit :  -61 % |  Rs. -119  |  in 3 hours.
195--&gt;76 
0.2 k --&gt; 0.1k 
Profit: Rs. -119 ( -61 % ) in 3 hours 
 #ST16022603
Enjoy the Profits</v>
      </c>
      <c r="R98" s="3" t="str">
        <f t="shared" si="16"/>
        <v>195--&gt;76 
0.2 k --&gt; 0.1k 
Profit: Rs. -119 ( -61 % ) in 3 hours 
 #ST16022603</v>
      </c>
      <c r="S98" s="3" t="str">
        <f t="shared" si="13"/>
        <v>#ST16022603</v>
      </c>
      <c r="X98"/>
      <c r="Z98" s="34"/>
    </row>
    <row r="99" spans="1:26" x14ac:dyDescent="0.35">
      <c r="A99" s="35">
        <v>96</v>
      </c>
      <c r="B99" s="15">
        <v>46069</v>
      </c>
      <c r="C99" s="1" t="s">
        <v>25</v>
      </c>
      <c r="E99" s="3" t="str">
        <f t="shared" si="14"/>
        <v>Option</v>
      </c>
      <c r="F99" s="18"/>
      <c r="G99" s="3" t="s">
        <v>165</v>
      </c>
      <c r="H99" s="53">
        <v>825</v>
      </c>
      <c r="I99" s="12">
        <v>2.65</v>
      </c>
      <c r="J99" s="50"/>
      <c r="L99" s="17">
        <f t="shared" si="9"/>
        <v>2.1862499999999998</v>
      </c>
      <c r="M99" s="17"/>
      <c r="N99" s="40"/>
      <c r="O99" s="24"/>
      <c r="Q99" s="31" t="str">
        <f t="shared" si="15"/>
        <v xml:space="preserve"> Profit :  0 % |  Rs.   |  in .
2.65--&gt; 
2.2 k --&gt; 0k 
Profit: Rs.  ( 0 % ) in  
 #ST16022604
Enjoy the Profits</v>
      </c>
      <c r="R99" s="3" t="str">
        <f t="shared" si="16"/>
        <v>2.65--&gt; 
2.2 k --&gt; 0k 
Profit: Rs.  ( 0 % ) in  
 #ST16022604</v>
      </c>
      <c r="S99" s="3" t="str">
        <f t="shared" si="13"/>
        <v>#ST16022604</v>
      </c>
      <c r="X99"/>
      <c r="Z99" s="34"/>
    </row>
    <row r="100" spans="1:26" x14ac:dyDescent="0.35">
      <c r="A100" s="35">
        <v>97</v>
      </c>
      <c r="B100" s="15">
        <v>46069</v>
      </c>
      <c r="C100" s="1" t="s">
        <v>25</v>
      </c>
      <c r="E100" s="3" t="str">
        <f t="shared" si="14"/>
        <v>Option</v>
      </c>
      <c r="F100" s="18">
        <v>0.3923611111111111</v>
      </c>
      <c r="G100" s="3" t="s">
        <v>167</v>
      </c>
      <c r="H100" s="53">
        <v>6750</v>
      </c>
      <c r="I100" s="12">
        <v>2.82</v>
      </c>
      <c r="J100" s="50">
        <v>6.99</v>
      </c>
      <c r="L100" s="17">
        <f t="shared" si="9"/>
        <v>19.035</v>
      </c>
      <c r="M100" s="17">
        <f t="shared" ref="M100:M131" si="20">IF(H100&lt;&gt;0,H100*J100/1000,"")</f>
        <v>47.182499999999997</v>
      </c>
      <c r="N100" s="40">
        <f t="shared" ref="N100:N131" si="21">_xlfn.NUMBERVALUE(IF(H100&lt;&gt;0,TEXT(1000*(M100-L100),"#,##,###"),""))</f>
        <v>28148</v>
      </c>
      <c r="O100" s="24">
        <f t="shared" ref="O100:O131" si="22">IF(H100&lt;&gt;0, (N100/L100)/1000,"")</f>
        <v>1.4787496716574731</v>
      </c>
      <c r="P100" s="3" t="s">
        <v>21</v>
      </c>
      <c r="Q100" s="31" t="str">
        <f t="shared" si="15"/>
        <v xml:space="preserve"> Profit :  148 % |  Rs. 28,148  |  in Overnight.
2.82--&gt;6.99 
19 k --&gt; 47.2k 
Profit: Rs. 28,148 ( 148 % ) in Overnight 
 #ST16022604
Enjoy the Profits</v>
      </c>
      <c r="R100" s="3" t="str">
        <f t="shared" si="16"/>
        <v>148 % 
One more call with over 148 % returns  in  Overnight 
2.82--&gt;6.99 
19 k --&gt; 47.2k 
Profit: Rs. 28,148 ( 148 % )  in Overnight 
 #ST16022604</v>
      </c>
      <c r="S100" s="3" t="str">
        <f t="shared" si="13"/>
        <v>#ST16022604</v>
      </c>
      <c r="X100"/>
      <c r="Z100" s="34"/>
    </row>
    <row r="101" spans="1:26" x14ac:dyDescent="0.35">
      <c r="A101" s="35">
        <v>98</v>
      </c>
      <c r="B101" s="15">
        <v>46070</v>
      </c>
      <c r="C101" s="1" t="s">
        <v>23</v>
      </c>
      <c r="E101" s="3" t="str">
        <f t="shared" si="14"/>
        <v>Option</v>
      </c>
      <c r="F101" s="18">
        <v>0.38680555555555557</v>
      </c>
      <c r="G101" s="3" t="s">
        <v>163</v>
      </c>
      <c r="H101" s="53">
        <v>400</v>
      </c>
      <c r="I101" s="12">
        <v>43.65</v>
      </c>
      <c r="J101" s="50">
        <v>76</v>
      </c>
      <c r="L101" s="17">
        <f t="shared" si="9"/>
        <v>17.46</v>
      </c>
      <c r="M101" s="17">
        <f t="shared" si="20"/>
        <v>30.4</v>
      </c>
      <c r="N101" s="40">
        <f t="shared" si="21"/>
        <v>12940</v>
      </c>
      <c r="O101" s="24">
        <f t="shared" si="22"/>
        <v>0.74112256586483383</v>
      </c>
      <c r="P101" s="3" t="s">
        <v>42</v>
      </c>
      <c r="Q101" s="31" t="str">
        <f t="shared" si="15"/>
        <v xml:space="preserve"> Profit :  74 % |  Rs. 12,940  |  in 3 hours.
43.65--&gt;76 
17.5 k --&gt; 30.4k 
Profit: Rs. 12,940 ( 74 % ) in 3 hours 
 #ST17022601
Enjoy the Profits</v>
      </c>
      <c r="R101" s="3" t="str">
        <f t="shared" si="16"/>
        <v>43.65--&gt;76 
17.5 k --&gt; 30.4k 
Profit: Rs. 12,940 ( 74 % ) in 3 hours 
 #ST16022601</v>
      </c>
      <c r="S101" s="3" t="str">
        <f t="shared" si="13"/>
        <v>#ST17022601</v>
      </c>
      <c r="X101"/>
      <c r="Z101" s="34"/>
    </row>
    <row r="102" spans="1:26" x14ac:dyDescent="0.35">
      <c r="A102" s="35">
        <v>99</v>
      </c>
      <c r="B102" s="15">
        <v>46070</v>
      </c>
      <c r="C102" s="1" t="s">
        <v>20</v>
      </c>
      <c r="E102" s="3" t="str">
        <f t="shared" si="14"/>
        <v>Option</v>
      </c>
      <c r="F102" s="18">
        <v>0.3923611111111111</v>
      </c>
      <c r="G102" s="3" t="s">
        <v>164</v>
      </c>
      <c r="H102" s="53">
        <v>150</v>
      </c>
      <c r="I102" s="12">
        <v>106.7</v>
      </c>
      <c r="J102" s="50">
        <v>120.2</v>
      </c>
      <c r="L102" s="17">
        <f t="shared" si="9"/>
        <v>16.004999999999999</v>
      </c>
      <c r="M102" s="17">
        <f t="shared" si="20"/>
        <v>18.03</v>
      </c>
      <c r="N102" s="40">
        <f t="shared" si="21"/>
        <v>2025</v>
      </c>
      <c r="O102" s="24">
        <f t="shared" si="22"/>
        <v>0.12652296157450799</v>
      </c>
      <c r="P102" s="3" t="s">
        <v>58</v>
      </c>
      <c r="Q102" s="31" t="str">
        <f t="shared" si="15"/>
        <v xml:space="preserve"> Profit :  13 % |  Rs. 2,025  |  in 20 min.
106.7--&gt;120.2 
16 k --&gt; 18k 
Profit: Rs. 2,025 ( 13 % ) in 20 min 
 #ST17022602
Enjoy the Profits</v>
      </c>
      <c r="R102" s="3" t="str">
        <f t="shared" si="16"/>
        <v>106.7--&gt;120.2 
16 k --&gt; 18k 
Profit: Rs. 2,025 ( 13 % ) in 20 min 
 #ST17022602</v>
      </c>
      <c r="S102" s="3" t="str">
        <f t="shared" si="13"/>
        <v>#ST17022602</v>
      </c>
      <c r="X102"/>
      <c r="Z102" s="34"/>
    </row>
    <row r="103" spans="1:26" x14ac:dyDescent="0.35">
      <c r="A103" s="35">
        <v>100</v>
      </c>
      <c r="B103" s="15">
        <v>46070</v>
      </c>
      <c r="C103" s="1" t="s">
        <v>24</v>
      </c>
      <c r="E103" s="3" t="str">
        <f t="shared" si="14"/>
        <v>Stock</v>
      </c>
      <c r="F103" s="18">
        <v>0.39652777777777776</v>
      </c>
      <c r="G103" s="3" t="s">
        <v>172</v>
      </c>
      <c r="H103" s="53">
        <v>1</v>
      </c>
      <c r="I103" s="12">
        <v>1393</v>
      </c>
      <c r="J103" s="50">
        <v>1400</v>
      </c>
      <c r="L103" s="17">
        <f t="shared" si="9"/>
        <v>1.393</v>
      </c>
      <c r="M103" s="17">
        <f t="shared" si="20"/>
        <v>1.4</v>
      </c>
      <c r="N103" s="40">
        <f t="shared" si="21"/>
        <v>7</v>
      </c>
      <c r="O103" s="24">
        <f t="shared" si="22"/>
        <v>5.0251256281407027E-3</v>
      </c>
      <c r="Q103" s="31" t="str">
        <f t="shared" si="15"/>
        <v xml:space="preserve"> Profit :  1 % |  Rs. 7  |  in .
1393--&gt;1400 
1.4 k --&gt; 1.4k 
Profit: Rs. 7 ( 1 % ) in  
 #ST17022603
Enjoy the Profits</v>
      </c>
      <c r="R103" s="3" t="str">
        <f t="shared" si="16"/>
        <v>1393--&gt;1400 
1.4 k --&gt; 1.4k 
Profit: Rs. 7 ( 1 % ) in  
 #ST17022603</v>
      </c>
      <c r="S103" s="3" t="str">
        <f t="shared" si="13"/>
        <v>#ST17022603</v>
      </c>
      <c r="X103"/>
      <c r="Z103" s="34"/>
    </row>
    <row r="104" spans="1:26" x14ac:dyDescent="0.35">
      <c r="A104" s="35">
        <v>101</v>
      </c>
      <c r="B104" s="15">
        <v>46070</v>
      </c>
      <c r="C104" s="1" t="s">
        <v>25</v>
      </c>
      <c r="E104" s="3" t="str">
        <f t="shared" si="14"/>
        <v>Option</v>
      </c>
      <c r="F104" s="18">
        <v>0.14166666666666666</v>
      </c>
      <c r="G104" s="3" t="s">
        <v>173</v>
      </c>
      <c r="H104" s="53">
        <v>1900</v>
      </c>
      <c r="I104" s="12">
        <v>9.15</v>
      </c>
      <c r="J104" s="50">
        <v>9.1</v>
      </c>
      <c r="L104" s="17">
        <f t="shared" si="9"/>
        <v>17.385000000000002</v>
      </c>
      <c r="M104" s="17">
        <f t="shared" si="20"/>
        <v>17.29</v>
      </c>
      <c r="N104" s="40">
        <f t="shared" si="21"/>
        <v>-95</v>
      </c>
      <c r="O104" s="24">
        <f t="shared" si="22"/>
        <v>-5.4644808743169399E-3</v>
      </c>
      <c r="Q104" s="31" t="str">
        <f t="shared" si="15"/>
        <v xml:space="preserve"> Profit :  -1 % |  Rs. -95  |  in .
9.15--&gt;9.1 
17.4 k --&gt; 17.3k 
Profit: Rs. -95 ( -1 % ) in  
 #ST17022604
Enjoy the Profits</v>
      </c>
      <c r="R104" s="3" t="str">
        <f t="shared" si="16"/>
        <v>9.15--&gt;9.1 
17.4 k --&gt; 17.3k 
Profit: Rs. -95 ( -1 % ) in  
 #ST17022604</v>
      </c>
      <c r="S104" s="3" t="str">
        <f t="shared" si="13"/>
        <v>#ST17022604</v>
      </c>
      <c r="X104"/>
      <c r="Z104" s="34"/>
    </row>
    <row r="105" spans="1:26" x14ac:dyDescent="0.35">
      <c r="A105" s="35">
        <v>102</v>
      </c>
      <c r="B105" s="15">
        <v>46070</v>
      </c>
      <c r="C105" s="1" t="s">
        <v>26</v>
      </c>
      <c r="E105" s="3" t="str">
        <f t="shared" si="14"/>
        <v>Option</v>
      </c>
      <c r="F105" s="18">
        <v>0.14930555555555555</v>
      </c>
      <c r="G105" s="3" t="s">
        <v>174</v>
      </c>
      <c r="H105" s="53">
        <v>1900</v>
      </c>
      <c r="I105" s="12">
        <v>3.95</v>
      </c>
      <c r="J105" s="50">
        <v>4.1500000000000004</v>
      </c>
      <c r="L105" s="17">
        <f t="shared" si="9"/>
        <v>7.5049999999999999</v>
      </c>
      <c r="M105" s="17">
        <f t="shared" si="20"/>
        <v>7.8850000000000007</v>
      </c>
      <c r="N105" s="40">
        <f t="shared" si="21"/>
        <v>380</v>
      </c>
      <c r="O105" s="24">
        <f t="shared" si="22"/>
        <v>5.0632911392405063E-2</v>
      </c>
      <c r="Q105" s="31" t="str">
        <f t="shared" si="15"/>
        <v xml:space="preserve"> Profit :  5 % |  Rs. 380  |  in .
3.95--&gt;4.15 
7.5 k --&gt; 7.9k 
Profit: Rs. 380 ( 5 % ) in  
 #ST17022605
Enjoy the Profits</v>
      </c>
      <c r="R105" s="3" t="str">
        <f t="shared" si="16"/>
        <v>3.95--&gt;4.15 
7.5 k --&gt; 7.9k 
Profit: Rs. 380 ( 5 % ) in  
 #ST17022605</v>
      </c>
      <c r="S105" s="3" t="str">
        <f t="shared" si="13"/>
        <v>#ST17022605</v>
      </c>
      <c r="X105"/>
      <c r="Z105" s="34"/>
    </row>
    <row r="106" spans="1:26" x14ac:dyDescent="0.35">
      <c r="A106" s="35">
        <v>103</v>
      </c>
      <c r="B106" s="15">
        <v>46070</v>
      </c>
      <c r="C106" s="1" t="s">
        <v>27</v>
      </c>
      <c r="E106" s="3" t="str">
        <f t="shared" si="14"/>
        <v>Option</v>
      </c>
      <c r="F106" s="18">
        <v>0.15</v>
      </c>
      <c r="G106" s="3" t="s">
        <v>175</v>
      </c>
      <c r="H106" s="53">
        <v>1900</v>
      </c>
      <c r="I106" s="12">
        <v>11.05</v>
      </c>
      <c r="J106" s="50">
        <v>11.9</v>
      </c>
      <c r="L106" s="17">
        <f t="shared" si="9"/>
        <v>20.995000000000001</v>
      </c>
      <c r="M106" s="17">
        <f t="shared" si="20"/>
        <v>22.61</v>
      </c>
      <c r="N106" s="40">
        <f t="shared" si="21"/>
        <v>1615</v>
      </c>
      <c r="O106" s="24">
        <f t="shared" si="22"/>
        <v>7.6923076923076913E-2</v>
      </c>
      <c r="Q106" s="31" t="str">
        <f t="shared" si="15"/>
        <v xml:space="preserve"> Profit :  8 % |  Rs. 1,615  |  in .
11.05--&gt;11.9 
21 k --&gt; 22.6k 
Profit: Rs. 1,615 ( 8 % ) in  
 #ST17022606
Enjoy the Profits</v>
      </c>
      <c r="R106" s="3" t="str">
        <f t="shared" si="16"/>
        <v>11.05--&gt;11.9 
21 k --&gt; 22.6k 
Profit: Rs. 1,615 ( 8 % ) in  
 #ST17022606</v>
      </c>
      <c r="S106" s="3" t="str">
        <f t="shared" si="13"/>
        <v>#ST17022606</v>
      </c>
      <c r="X106"/>
      <c r="Z106" s="34"/>
    </row>
    <row r="107" spans="1:26" x14ac:dyDescent="0.35">
      <c r="A107" s="35">
        <v>104</v>
      </c>
      <c r="B107" s="15">
        <v>46071</v>
      </c>
      <c r="C107" s="1" t="s">
        <v>29</v>
      </c>
      <c r="D107" s="2">
        <v>46077</v>
      </c>
      <c r="E107" s="3" t="str">
        <f t="shared" si="14"/>
        <v>Option</v>
      </c>
      <c r="F107" s="18">
        <v>0.14444444444444443</v>
      </c>
      <c r="G107" s="3" t="s">
        <v>168</v>
      </c>
      <c r="H107" s="53">
        <v>175</v>
      </c>
      <c r="I107" s="12">
        <v>107.5</v>
      </c>
      <c r="J107" s="50">
        <v>223</v>
      </c>
      <c r="L107" s="17">
        <f t="shared" si="9"/>
        <v>18.8125</v>
      </c>
      <c r="M107" s="17">
        <f t="shared" si="20"/>
        <v>39.024999999999999</v>
      </c>
      <c r="N107" s="40">
        <f t="shared" si="21"/>
        <v>20213</v>
      </c>
      <c r="O107" s="24">
        <f t="shared" si="22"/>
        <v>1.0744451827242525</v>
      </c>
      <c r="P107" s="3" t="s">
        <v>21</v>
      </c>
      <c r="Q107" s="31" t="str">
        <f t="shared" si="15"/>
        <v xml:space="preserve"> Profit :  107 % |  Rs. 20,213  |  in Overnight.
107.5--&gt;223 
18.8 k --&gt; 39k 
Profit: Rs. 20,213 ( 107 % ) in Overnight 
 #ST18022607
Enjoy the Profits</v>
      </c>
      <c r="R107" s="3" t="str">
        <f t="shared" si="16"/>
        <v>107 % 
One more call with over 107 % returns  in  Overnight 
107.5--&gt;223 
18.8 k --&gt; 39k 
Profit: Rs. 20,213 ( 107 % )  in Overnight 
 #ST17022607</v>
      </c>
      <c r="S107" s="3" t="str">
        <f t="shared" si="13"/>
        <v>#ST18022607</v>
      </c>
      <c r="X107"/>
      <c r="Z107" s="34"/>
    </row>
    <row r="108" spans="1:26" x14ac:dyDescent="0.35">
      <c r="A108" s="35">
        <v>105</v>
      </c>
      <c r="B108" s="15">
        <v>46071</v>
      </c>
      <c r="C108" s="1" t="s">
        <v>23</v>
      </c>
      <c r="E108" s="3" t="str">
        <f t="shared" si="14"/>
        <v>Option</v>
      </c>
      <c r="F108" s="18">
        <v>0.40069444444444446</v>
      </c>
      <c r="G108" s="3" t="s">
        <v>169</v>
      </c>
      <c r="H108" s="53">
        <v>675</v>
      </c>
      <c r="I108" s="12">
        <v>16.5</v>
      </c>
      <c r="J108" s="50">
        <v>19.600000000000001</v>
      </c>
      <c r="K108" s="3">
        <v>17</v>
      </c>
      <c r="L108" s="17">
        <f t="shared" si="9"/>
        <v>11.137499999999999</v>
      </c>
      <c r="M108" s="17">
        <f t="shared" si="20"/>
        <v>13.230000000000002</v>
      </c>
      <c r="N108" s="40">
        <f t="shared" si="21"/>
        <v>2093</v>
      </c>
      <c r="O108" s="24">
        <f t="shared" si="22"/>
        <v>0.18792368125701461</v>
      </c>
      <c r="P108" s="3" t="s">
        <v>39</v>
      </c>
      <c r="Q108" s="31" t="str">
        <f t="shared" si="15"/>
        <v xml:space="preserve"> Profit :  19 % |  Rs. 2,093  |  in 10 min.
16.5--&gt;19.6 
11.1 k --&gt; 13.2k 
Profit: Rs. 2,093 ( 19 % ) in 10 min 
 #ST18022601
Enjoy the Profits</v>
      </c>
      <c r="R108" s="3" t="str">
        <f t="shared" si="16"/>
        <v>16.5--&gt;19.6 
11.1 k --&gt; 13.2k 
Profit: Rs. 2,093 ( 19 % ) in 10 min 
 #ST18022601</v>
      </c>
      <c r="S108" s="3" t="str">
        <f t="shared" si="13"/>
        <v>#ST18022601</v>
      </c>
      <c r="X108"/>
      <c r="Z108" s="34"/>
    </row>
    <row r="109" spans="1:26" x14ac:dyDescent="0.35">
      <c r="A109" s="35">
        <v>106</v>
      </c>
      <c r="B109" s="15">
        <v>46071</v>
      </c>
      <c r="C109" s="1" t="s">
        <v>20</v>
      </c>
      <c r="E109" s="3" t="str">
        <f t="shared" si="14"/>
        <v>Option</v>
      </c>
      <c r="F109" s="18">
        <v>0.43194444444444446</v>
      </c>
      <c r="G109" s="3" t="s">
        <v>171</v>
      </c>
      <c r="H109" s="53">
        <v>550</v>
      </c>
      <c r="I109" s="12">
        <v>20.3</v>
      </c>
      <c r="J109" s="50">
        <v>38.4</v>
      </c>
      <c r="L109" s="17">
        <f t="shared" si="9"/>
        <v>11.164999999999999</v>
      </c>
      <c r="M109" s="17">
        <f t="shared" si="20"/>
        <v>21.12</v>
      </c>
      <c r="N109" s="40">
        <f t="shared" si="21"/>
        <v>9955</v>
      </c>
      <c r="O109" s="24">
        <f t="shared" si="22"/>
        <v>0.89162561576354693</v>
      </c>
      <c r="P109" s="3" t="s">
        <v>42</v>
      </c>
      <c r="Q109" s="31" t="str">
        <f t="shared" si="15"/>
        <v xml:space="preserve"> Profit :  89 % |  Rs. 9,955  |  in 3 hours.
20.3--&gt;38.4 
11.2 k --&gt; 21.1k 
Profit: Rs. 9,955 ( 89 % ) in 3 hours 
 #ST18022602
Enjoy the Profits</v>
      </c>
      <c r="R109" s="3" t="str">
        <f t="shared" si="16"/>
        <v>20.3--&gt;38.4 
11.2 k --&gt; 21.1k 
Profit: Rs. 9,955 ( 89 % ) in 3 hours 
 #ST18022602</v>
      </c>
      <c r="S109" s="3" t="str">
        <f t="shared" si="13"/>
        <v>#ST18022602</v>
      </c>
      <c r="X109"/>
      <c r="Z109" s="34"/>
    </row>
    <row r="110" spans="1:26" x14ac:dyDescent="0.35">
      <c r="A110" s="35">
        <v>107</v>
      </c>
      <c r="B110" s="15">
        <v>46071</v>
      </c>
      <c r="C110" s="1" t="s">
        <v>24</v>
      </c>
      <c r="E110" s="3" t="str">
        <f t="shared" si="14"/>
        <v>Option</v>
      </c>
      <c r="F110" s="18">
        <v>0.43402777777777779</v>
      </c>
      <c r="G110" s="3" t="s">
        <v>170</v>
      </c>
      <c r="H110" s="53">
        <v>475</v>
      </c>
      <c r="I110" s="12">
        <v>27.2</v>
      </c>
      <c r="J110" s="50">
        <v>44.95</v>
      </c>
      <c r="L110" s="17">
        <f t="shared" si="9"/>
        <v>12.92</v>
      </c>
      <c r="M110" s="17">
        <f t="shared" si="20"/>
        <v>21.35125</v>
      </c>
      <c r="N110" s="40">
        <f t="shared" si="21"/>
        <v>8431</v>
      </c>
      <c r="O110" s="24">
        <f t="shared" si="22"/>
        <v>0.65255417956656347</v>
      </c>
      <c r="Q110" s="31" t="str">
        <f t="shared" si="15"/>
        <v xml:space="preserve"> Profit :  65 % |  Rs. 8,431  |  in .
27.2--&gt;44.95 
12.9 k --&gt; 21.4k 
Profit: Rs. 8,431 ( 65 % ) in  
 #ST18022603
Enjoy the Profits</v>
      </c>
      <c r="R110" s="3" t="str">
        <f t="shared" si="16"/>
        <v>27.2--&gt;44.95 
12.9 k --&gt; 21.4k 
Profit: Rs. 8,431 ( 65 % ) in  
 #ST18022603</v>
      </c>
      <c r="S110" s="3" t="str">
        <f t="shared" si="13"/>
        <v>#ST18022603</v>
      </c>
      <c r="X110"/>
      <c r="Z110" s="34"/>
    </row>
    <row r="111" spans="1:26" x14ac:dyDescent="0.35">
      <c r="A111" s="35">
        <v>108</v>
      </c>
      <c r="B111" s="15">
        <v>46071</v>
      </c>
      <c r="C111" s="1" t="s">
        <v>25</v>
      </c>
      <c r="E111" s="3" t="str">
        <f t="shared" si="14"/>
        <v>Option</v>
      </c>
      <c r="F111" s="18">
        <v>0.14097222222222222</v>
      </c>
      <c r="G111" s="3" t="s">
        <v>181</v>
      </c>
      <c r="H111" s="53">
        <v>1100</v>
      </c>
      <c r="I111" s="12">
        <v>6.6</v>
      </c>
      <c r="J111" s="50">
        <v>10</v>
      </c>
      <c r="K111" s="3">
        <v>2.2000000000000002</v>
      </c>
      <c r="L111" s="17">
        <f t="shared" si="9"/>
        <v>7.26</v>
      </c>
      <c r="M111" s="17">
        <f t="shared" si="20"/>
        <v>11</v>
      </c>
      <c r="N111" s="40">
        <f t="shared" si="21"/>
        <v>3740</v>
      </c>
      <c r="O111" s="24">
        <f t="shared" si="22"/>
        <v>0.51515151515151514</v>
      </c>
      <c r="P111" s="3" t="s">
        <v>21</v>
      </c>
      <c r="Q111" s="31" t="str">
        <f t="shared" si="15"/>
        <v xml:space="preserve"> Profit :  52 % |  Rs. 3,740  |  in Overnight.
6.6--&gt;10 
7.3 k --&gt; 11k 
Profit: Rs. 3,740 ( 52 % ) in Overnight 
 #ST18022604
Enjoy the Profits</v>
      </c>
      <c r="R111" s="3" t="str">
        <f t="shared" si="16"/>
        <v>6.6--&gt;10 
7.3 k --&gt; 11k 
Profit: Rs. 3,740 ( 52 % ) in Overnight 
 #ST18022604</v>
      </c>
      <c r="S111" s="3" t="str">
        <f t="shared" si="13"/>
        <v>#ST18022604</v>
      </c>
      <c r="X111"/>
      <c r="Z111" s="34"/>
    </row>
    <row r="112" spans="1:26" x14ac:dyDescent="0.35">
      <c r="A112" s="35">
        <v>109</v>
      </c>
      <c r="B112" s="15">
        <v>46072</v>
      </c>
      <c r="C112" s="1" t="s">
        <v>23</v>
      </c>
      <c r="E112" s="3" t="str">
        <f t="shared" si="14"/>
        <v>Option</v>
      </c>
      <c r="F112" s="18">
        <v>0.39374999999999999</v>
      </c>
      <c r="G112" s="3" t="s">
        <v>178</v>
      </c>
      <c r="H112" s="53">
        <v>1050</v>
      </c>
      <c r="I112" s="12">
        <v>3.9</v>
      </c>
      <c r="J112" s="50">
        <v>2.2000000000000002</v>
      </c>
      <c r="K112" s="3">
        <v>2.2000000000000002</v>
      </c>
      <c r="L112" s="17">
        <f t="shared" ref="L112:L175" si="23">IF(H112&lt;&gt;0,H112*I112/1000,"")</f>
        <v>4.0949999999999998</v>
      </c>
      <c r="M112" s="17">
        <f t="shared" si="20"/>
        <v>2.31</v>
      </c>
      <c r="N112" s="40">
        <f t="shared" si="21"/>
        <v>-1785</v>
      </c>
      <c r="O112" s="24">
        <f t="shared" si="22"/>
        <v>-0.4358974358974359</v>
      </c>
      <c r="P112" s="3" t="s">
        <v>42</v>
      </c>
      <c r="Q112" s="31" t="str">
        <f t="shared" si="15"/>
        <v xml:space="preserve"> Profit :  -44 % |  Rs. -1,785  |  in 3 hours.
3.9--&gt;2.2 
4.1 k --&gt; 2.3k 
Profit: Rs. -1,785 ( -44 % ) in 3 hours 
 #ST19022601
Enjoy the Profits</v>
      </c>
      <c r="R112" s="3" t="str">
        <f t="shared" si="16"/>
        <v>3.9--&gt;2.2 
4.1 k --&gt; 2.3k 
Profit: Rs. -1,785 ( -44 % ) in 3 hours 
 #ST18022601</v>
      </c>
      <c r="S112" s="3" t="str">
        <f t="shared" si="13"/>
        <v>#ST19022601</v>
      </c>
      <c r="X112"/>
      <c r="Z112" s="34"/>
    </row>
    <row r="113" spans="1:26" x14ac:dyDescent="0.35">
      <c r="A113" s="35">
        <v>110</v>
      </c>
      <c r="B113" s="15">
        <v>46072</v>
      </c>
      <c r="C113" s="1" t="s">
        <v>20</v>
      </c>
      <c r="E113" s="3" t="str">
        <f t="shared" si="14"/>
        <v>Option</v>
      </c>
      <c r="F113" s="18">
        <v>0.39583333333333331</v>
      </c>
      <c r="G113" s="3" t="s">
        <v>177</v>
      </c>
      <c r="H113" s="53">
        <v>1600</v>
      </c>
      <c r="I113" s="12">
        <v>2.8</v>
      </c>
      <c r="J113" s="50">
        <v>6</v>
      </c>
      <c r="K113" s="3">
        <v>1.5</v>
      </c>
      <c r="L113" s="17">
        <f t="shared" si="23"/>
        <v>4.4800000000000004</v>
      </c>
      <c r="M113" s="17">
        <f t="shared" si="20"/>
        <v>9.6</v>
      </c>
      <c r="N113" s="40">
        <f t="shared" si="21"/>
        <v>5120</v>
      </c>
      <c r="O113" s="24">
        <f t="shared" si="22"/>
        <v>1.1428571428571426</v>
      </c>
      <c r="P113" s="3" t="s">
        <v>41</v>
      </c>
      <c r="Q113" s="31" t="str">
        <f t="shared" si="15"/>
        <v xml:space="preserve"> Profit :  114 % |  Rs. 5,120  |  in 6 hours.
2.8--&gt;6 
4.5 k --&gt; 9.6k 
Profit: Rs. 5,120 ( 114 % ) in 6 hours 
 #ST19022602
Enjoy the Profits</v>
      </c>
      <c r="R113" s="3" t="str">
        <f t="shared" si="16"/>
        <v>114 % 
One more call with over 114 % returns  in  6 hours 
2.8--&gt;6 
4.5 k --&gt; 9.6k 
Profit: Rs. 5,120 ( 114 % )  in 6 hours 
 #ST19022602</v>
      </c>
      <c r="S113" s="3" t="str">
        <f t="shared" si="13"/>
        <v>#ST19022602</v>
      </c>
      <c r="X113"/>
      <c r="Z113" s="34"/>
    </row>
    <row r="114" spans="1:26" x14ac:dyDescent="0.35">
      <c r="A114" s="35">
        <v>111</v>
      </c>
      <c r="B114" s="15">
        <v>46072</v>
      </c>
      <c r="C114" s="1" t="s">
        <v>24</v>
      </c>
      <c r="E114" s="3" t="str">
        <f t="shared" si="14"/>
        <v>Option</v>
      </c>
      <c r="F114" s="18">
        <v>0.3972222222222222</v>
      </c>
      <c r="G114" s="3" t="s">
        <v>176</v>
      </c>
      <c r="H114" s="53">
        <v>1600</v>
      </c>
      <c r="I114" s="12">
        <v>12.85</v>
      </c>
      <c r="J114" s="50">
        <v>16.7</v>
      </c>
      <c r="K114" s="3">
        <v>11.4</v>
      </c>
      <c r="L114" s="17">
        <f t="shared" si="23"/>
        <v>20.56</v>
      </c>
      <c r="M114" s="17">
        <f t="shared" si="20"/>
        <v>26.72</v>
      </c>
      <c r="N114" s="40">
        <f t="shared" si="21"/>
        <v>6160</v>
      </c>
      <c r="O114" s="24">
        <f t="shared" si="22"/>
        <v>0.29961089494163429</v>
      </c>
      <c r="P114" s="3" t="s">
        <v>185</v>
      </c>
      <c r="Q114" s="31" t="str">
        <f t="shared" si="15"/>
        <v xml:space="preserve"> Profit :  30 % |  Rs. 6,160  |  in 6 hous.
12.85--&gt;16.7 
20.6 k --&gt; 26.7k 
Profit: Rs. 6,160 ( 30 % ) in 6 hous 
 #ST19022603
Enjoy the Profits</v>
      </c>
      <c r="R114" s="3" t="str">
        <f t="shared" si="16"/>
        <v>12.85--&gt;16.7 
20.6 k --&gt; 26.7k 
Profit: Rs. 6,160 ( 30 % ) in 6 hous 
 #ST19022603</v>
      </c>
      <c r="S114" s="3" t="str">
        <f t="shared" si="13"/>
        <v>#ST19022603</v>
      </c>
      <c r="X114"/>
      <c r="Z114" s="34"/>
    </row>
    <row r="115" spans="1:26" x14ac:dyDescent="0.35">
      <c r="A115" s="35">
        <v>112</v>
      </c>
      <c r="B115" s="15">
        <v>46072</v>
      </c>
      <c r="C115" s="1" t="s">
        <v>25</v>
      </c>
      <c r="E115" s="3" t="str">
        <f t="shared" si="14"/>
        <v>Option</v>
      </c>
      <c r="F115" s="18">
        <v>0.42430555555555555</v>
      </c>
      <c r="G115" s="3" t="s">
        <v>179</v>
      </c>
      <c r="H115" s="53">
        <v>200</v>
      </c>
      <c r="I115" s="12">
        <v>94.4</v>
      </c>
      <c r="J115" s="50">
        <v>109</v>
      </c>
      <c r="K115" s="3">
        <v>85</v>
      </c>
      <c r="L115" s="17">
        <f t="shared" si="23"/>
        <v>18.88</v>
      </c>
      <c r="M115" s="17">
        <f t="shared" si="20"/>
        <v>21.8</v>
      </c>
      <c r="N115" s="40">
        <f t="shared" si="21"/>
        <v>2920</v>
      </c>
      <c r="O115" s="24">
        <f t="shared" si="22"/>
        <v>0.15466101694915255</v>
      </c>
      <c r="Q115" s="31" t="str">
        <f t="shared" si="15"/>
        <v xml:space="preserve"> Profit :  15 % |  Rs. 2,920  |  in .
94.4--&gt;109 
18.9 k --&gt; 21.8k 
Profit: Rs. 2,920 ( 15 % ) in  
 #ST19022604
Enjoy the Profits</v>
      </c>
      <c r="R115" s="3" t="str">
        <f t="shared" si="16"/>
        <v>94.4--&gt;109 
18.9 k --&gt; 21.8k 
Profit: Rs. 2,920 ( 15 % ) in  
 #ST19022604</v>
      </c>
      <c r="S115" s="3" t="str">
        <f t="shared" si="13"/>
        <v>#ST19022604</v>
      </c>
      <c r="X115"/>
      <c r="Z115" s="34"/>
    </row>
    <row r="116" spans="1:26" x14ac:dyDescent="0.35">
      <c r="A116" s="35">
        <v>113</v>
      </c>
      <c r="B116" s="15">
        <v>46072</v>
      </c>
      <c r="C116" s="1" t="s">
        <v>26</v>
      </c>
      <c r="E116" s="3" t="str">
        <f t="shared" si="14"/>
        <v>Option</v>
      </c>
      <c r="F116" s="18">
        <v>0.4284722222222222</v>
      </c>
      <c r="G116" s="3" t="s">
        <v>180</v>
      </c>
      <c r="H116" s="53">
        <v>1900</v>
      </c>
      <c r="I116" s="12">
        <v>9</v>
      </c>
      <c r="J116" s="50">
        <v>10.5</v>
      </c>
      <c r="K116" s="3">
        <v>8.1999999999999993</v>
      </c>
      <c r="L116" s="17">
        <f t="shared" si="23"/>
        <v>17.100000000000001</v>
      </c>
      <c r="M116" s="17">
        <f t="shared" si="20"/>
        <v>19.95</v>
      </c>
      <c r="N116" s="40">
        <f t="shared" si="21"/>
        <v>2850</v>
      </c>
      <c r="O116" s="24">
        <f t="shared" si="22"/>
        <v>0.16666666666666666</v>
      </c>
      <c r="Q116" s="31" t="str">
        <f t="shared" si="15"/>
        <v xml:space="preserve"> Profit :  17 % |  Rs. 2,850  |  in .
9--&gt;10.5 
17.1 k --&gt; 20k 
Profit: Rs. 2,850 ( 17 % ) in  
 #ST19022605
Enjoy the Profits</v>
      </c>
      <c r="R116" s="3" t="str">
        <f t="shared" si="16"/>
        <v>9--&gt;10.5 
17.1 k --&gt; 20k 
Profit: Rs. 2,850 ( 17 % ) in  
 #ST19022605</v>
      </c>
      <c r="S116" s="3" t="str">
        <f t="shared" si="13"/>
        <v>#ST19022605</v>
      </c>
      <c r="Z116" s="34"/>
    </row>
    <row r="117" spans="1:26" x14ac:dyDescent="0.35">
      <c r="A117" s="35">
        <v>114</v>
      </c>
      <c r="B117" s="15">
        <v>46072</v>
      </c>
      <c r="C117" s="1" t="s">
        <v>27</v>
      </c>
      <c r="E117" s="3" t="str">
        <f t="shared" si="14"/>
        <v>Option</v>
      </c>
      <c r="F117" s="18">
        <v>0.1388888888888889</v>
      </c>
      <c r="G117" s="3" t="s">
        <v>182</v>
      </c>
      <c r="H117" s="53">
        <v>4250</v>
      </c>
      <c r="I117" s="12">
        <v>1.27</v>
      </c>
      <c r="J117" s="50">
        <v>1.5</v>
      </c>
      <c r="L117" s="17">
        <f t="shared" si="23"/>
        <v>5.3975</v>
      </c>
      <c r="M117" s="17">
        <f t="shared" si="20"/>
        <v>6.375</v>
      </c>
      <c r="N117" s="40">
        <f t="shared" si="21"/>
        <v>978</v>
      </c>
      <c r="O117" s="24">
        <f t="shared" si="22"/>
        <v>0.18119499768411301</v>
      </c>
      <c r="P117" s="3" t="s">
        <v>88</v>
      </c>
      <c r="Q117" s="31" t="str">
        <f t="shared" si="15"/>
        <v xml:space="preserve"> Profit :  18 % |  Rs. 978  |  in 8 min.
1.27--&gt;1.5 
5.4 k --&gt; 6.4k 
Profit: Rs. 978 ( 18 % ) in 8 min 
 #ST19022606
Enjoy the Profits</v>
      </c>
      <c r="R117" s="3" t="str">
        <f t="shared" si="16"/>
        <v>1.27--&gt;1.5 
5.4 k --&gt; 6.4k 
Profit: Rs. 978 ( 18 % ) in 8 min 
 #ST19022606</v>
      </c>
      <c r="S117" s="3" t="str">
        <f t="shared" si="13"/>
        <v>#ST19022606</v>
      </c>
      <c r="Z117" s="34"/>
    </row>
    <row r="118" spans="1:26" x14ac:dyDescent="0.35">
      <c r="A118" s="35">
        <v>115</v>
      </c>
      <c r="B118" s="15">
        <v>46072</v>
      </c>
      <c r="C118" s="1" t="s">
        <v>29</v>
      </c>
      <c r="E118" s="3" t="str">
        <f t="shared" si="14"/>
        <v>Option</v>
      </c>
      <c r="F118" s="18">
        <v>0.13958333333333334</v>
      </c>
      <c r="G118" s="3" t="s">
        <v>183</v>
      </c>
      <c r="H118" s="53">
        <v>4250</v>
      </c>
      <c r="I118" s="12">
        <v>4.5</v>
      </c>
      <c r="J118" s="50">
        <v>4.8600000000000003</v>
      </c>
      <c r="L118" s="17">
        <f t="shared" si="23"/>
        <v>19.125</v>
      </c>
      <c r="M118" s="17">
        <f t="shared" si="20"/>
        <v>20.655000000000001</v>
      </c>
      <c r="N118" s="40">
        <f t="shared" si="21"/>
        <v>1530</v>
      </c>
      <c r="O118" s="24">
        <f t="shared" si="22"/>
        <v>0.08</v>
      </c>
      <c r="P118" s="3" t="s">
        <v>51</v>
      </c>
      <c r="Q118" s="31" t="str">
        <f t="shared" si="15"/>
        <v xml:space="preserve"> Profit :  8 % |  Rs. 1,530  |  in 9 min.
4.5--&gt;4.86 
19.1 k --&gt; 20.7k 
Profit: Rs. 1,530 ( 8 % ) in 9 min 
 #ST19022607
Enjoy the Profits</v>
      </c>
      <c r="R118" s="3" t="str">
        <f t="shared" si="16"/>
        <v>4.5--&gt;4.86 
19.1 k --&gt; 20.7k 
Profit: Rs. 1,530 ( 8 % ) in 9 min 
 #ST19022607</v>
      </c>
      <c r="S118" s="3" t="str">
        <f t="shared" si="13"/>
        <v>#ST19022607</v>
      </c>
      <c r="Z118" s="34"/>
    </row>
    <row r="119" spans="1:26" x14ac:dyDescent="0.35">
      <c r="A119" s="35">
        <v>116</v>
      </c>
      <c r="B119" s="15">
        <v>46072</v>
      </c>
      <c r="C119" s="1" t="s">
        <v>31</v>
      </c>
      <c r="E119" s="3" t="str">
        <f t="shared" si="14"/>
        <v>Option</v>
      </c>
      <c r="F119" s="18">
        <v>0.1423611111111111</v>
      </c>
      <c r="G119" s="3" t="s">
        <v>184</v>
      </c>
      <c r="H119" s="53">
        <v>350</v>
      </c>
      <c r="I119" s="12">
        <v>49.95</v>
      </c>
      <c r="J119" s="50">
        <v>98</v>
      </c>
      <c r="L119" s="17">
        <f t="shared" si="23"/>
        <v>17.482500000000002</v>
      </c>
      <c r="M119" s="17">
        <f t="shared" si="20"/>
        <v>34.299999999999997</v>
      </c>
      <c r="N119" s="40">
        <f t="shared" si="21"/>
        <v>16818</v>
      </c>
      <c r="O119" s="24">
        <f t="shared" si="22"/>
        <v>0.96199056199056188</v>
      </c>
      <c r="P119" s="3" t="s">
        <v>21</v>
      </c>
      <c r="Q119" s="31" t="str">
        <f t="shared" si="15"/>
        <v xml:space="preserve"> Profit :  96 % |  Rs. 16,818  |  in Overnight.
49.95--&gt;98 
17.5 k --&gt; 34.3k 
Profit: Rs. 16,818 ( 96 % ) in Overnight 
 #ST19022608
Enjoy the Profits</v>
      </c>
      <c r="R119" s="3" t="str">
        <f t="shared" si="16"/>
        <v>49.95--&gt;98 
17.5 k --&gt; 34.3k 
Profit: Rs. 16,818 ( 96 % ) in Overnight 
 #ST19022608</v>
      </c>
      <c r="S119" s="3" t="str">
        <f t="shared" si="13"/>
        <v>#ST19022608</v>
      </c>
      <c r="Z119" s="34"/>
    </row>
    <row r="120" spans="1:26" x14ac:dyDescent="0.35">
      <c r="A120" s="35">
        <v>117</v>
      </c>
      <c r="B120" s="15">
        <v>46073</v>
      </c>
      <c r="C120" s="1" t="s">
        <v>23</v>
      </c>
      <c r="E120" s="3" t="str">
        <f t="shared" si="14"/>
        <v>Option</v>
      </c>
      <c r="F120" s="18">
        <v>0.40208333333333335</v>
      </c>
      <c r="G120" s="3" t="s">
        <v>186</v>
      </c>
      <c r="H120" s="53">
        <v>1900</v>
      </c>
      <c r="I120" s="12">
        <v>2.7</v>
      </c>
      <c r="J120" s="50">
        <v>4.45</v>
      </c>
      <c r="K120" s="3">
        <v>2.2000000000000002</v>
      </c>
      <c r="L120" s="17">
        <f t="shared" si="23"/>
        <v>5.13</v>
      </c>
      <c r="M120" s="17">
        <f t="shared" si="20"/>
        <v>8.4550000000000001</v>
      </c>
      <c r="N120" s="40">
        <f t="shared" si="21"/>
        <v>3325</v>
      </c>
      <c r="O120" s="24">
        <f t="shared" si="22"/>
        <v>0.64814814814814814</v>
      </c>
      <c r="P120" s="3" t="s">
        <v>48</v>
      </c>
      <c r="Q120" s="31" t="str">
        <f t="shared" si="15"/>
        <v xml:space="preserve"> Profit :  65 % |  Rs. 3,325  |  in 90 min.
2.7--&gt;4.45 
5.1 k --&gt; 8.5k 
Profit: Rs. 3,325 ( 65 % ) in 90 min 
 #ST20022601
Enjoy the Profits</v>
      </c>
      <c r="R120" s="3" t="str">
        <f t="shared" si="16"/>
        <v>2.7--&gt;4.45 
5.1 k --&gt; 8.5k 
Profit: Rs. 3,325 ( 65 % ) in 90 min 
 #ST19022601</v>
      </c>
      <c r="S120" s="3" t="str">
        <f t="shared" si="13"/>
        <v>#ST20022601</v>
      </c>
      <c r="Z120" s="34"/>
    </row>
    <row r="121" spans="1:26" x14ac:dyDescent="0.35">
      <c r="A121" s="35">
        <v>118</v>
      </c>
      <c r="B121" s="15">
        <v>46073</v>
      </c>
      <c r="C121" s="1" t="s">
        <v>20</v>
      </c>
      <c r="E121" s="3" t="str">
        <f t="shared" si="14"/>
        <v>Option</v>
      </c>
      <c r="F121" s="18">
        <v>0.41458333333333336</v>
      </c>
      <c r="G121" s="3" t="s">
        <v>188</v>
      </c>
      <c r="H121" s="53">
        <v>175</v>
      </c>
      <c r="I121" s="12">
        <v>107</v>
      </c>
      <c r="J121" s="50">
        <v>169</v>
      </c>
      <c r="L121" s="17">
        <f t="shared" si="23"/>
        <v>18.725000000000001</v>
      </c>
      <c r="M121" s="17">
        <f t="shared" si="20"/>
        <v>29.574999999999999</v>
      </c>
      <c r="N121" s="40">
        <f t="shared" si="21"/>
        <v>10850</v>
      </c>
      <c r="O121" s="24">
        <f t="shared" si="22"/>
        <v>0.57943925233644855</v>
      </c>
      <c r="P121" s="3" t="s">
        <v>46</v>
      </c>
      <c r="Q121" s="31" t="str">
        <f t="shared" si="15"/>
        <v xml:space="preserve"> Profit :  58 % |  Rs. 10,850  |  in 30 min.
107--&gt;169 
18.7 k --&gt; 29.6k 
Profit: Rs. 10,850 ( 58 % ) in 30 min 
 #ST20022602
Enjoy the Profits</v>
      </c>
      <c r="R121" s="3" t="str">
        <f t="shared" si="16"/>
        <v>107--&gt;169 
18.7 k --&gt; 29.6k 
Profit: Rs. 10,850 ( 58 % ) in 30 min 
 #ST20022602</v>
      </c>
      <c r="S121" s="3" t="str">
        <f t="shared" si="13"/>
        <v>#ST20022602</v>
      </c>
      <c r="Z121" s="34"/>
    </row>
    <row r="122" spans="1:26" x14ac:dyDescent="0.35">
      <c r="A122" s="35">
        <v>119</v>
      </c>
      <c r="B122" s="15">
        <v>46073</v>
      </c>
      <c r="C122" s="1" t="s">
        <v>24</v>
      </c>
      <c r="E122" s="3" t="str">
        <f t="shared" si="14"/>
        <v>Option</v>
      </c>
      <c r="F122" s="18">
        <v>0.41666666666666669</v>
      </c>
      <c r="G122" s="3" t="s">
        <v>187</v>
      </c>
      <c r="H122" s="53">
        <v>175</v>
      </c>
      <c r="I122" s="12">
        <v>22.4</v>
      </c>
      <c r="J122" s="50">
        <v>26.5</v>
      </c>
      <c r="K122" s="3">
        <v>20</v>
      </c>
      <c r="L122" s="17">
        <f t="shared" si="23"/>
        <v>3.9199999999999995</v>
      </c>
      <c r="M122" s="17">
        <f t="shared" si="20"/>
        <v>4.6375000000000002</v>
      </c>
      <c r="N122" s="40">
        <f t="shared" si="21"/>
        <v>718</v>
      </c>
      <c r="O122" s="24">
        <f t="shared" si="22"/>
        <v>0.18316326530612248</v>
      </c>
      <c r="P122" s="3" t="s">
        <v>38</v>
      </c>
      <c r="Q122" s="31" t="str">
        <f t="shared" si="15"/>
        <v xml:space="preserve"> Profit :  18 % |  Rs. 718  |  in 6 min.
22.4--&gt;26.5 
3.9 k --&gt; 4.6k 
Profit: Rs. 718 ( 18 % ) in 6 min 
 #ST20022603
Enjoy the Profits</v>
      </c>
      <c r="R122" s="3" t="str">
        <f t="shared" si="16"/>
        <v>22.4--&gt;26.5 
3.9 k --&gt; 4.6k 
Profit: Rs. 718 ( 18 % ) in 6 min 
 #ST20022603</v>
      </c>
      <c r="S122" s="3" t="str">
        <f t="shared" si="13"/>
        <v>#ST20022603</v>
      </c>
      <c r="Z122" s="34"/>
    </row>
    <row r="123" spans="1:26" x14ac:dyDescent="0.35">
      <c r="A123" s="35">
        <v>120</v>
      </c>
      <c r="B123" s="15">
        <v>46076</v>
      </c>
      <c r="C123" s="1" t="s">
        <v>23</v>
      </c>
      <c r="E123" s="3" t="str">
        <f t="shared" si="14"/>
        <v>Option</v>
      </c>
      <c r="F123" s="18">
        <v>0.39374999999999999</v>
      </c>
      <c r="G123" s="3" t="s">
        <v>189</v>
      </c>
      <c r="H123" s="53">
        <v>750</v>
      </c>
      <c r="I123" s="12">
        <v>4.5999999999999996</v>
      </c>
      <c r="J123" s="50">
        <v>5.5</v>
      </c>
      <c r="K123" s="3">
        <v>4</v>
      </c>
      <c r="L123" s="17">
        <f t="shared" si="23"/>
        <v>3.4499999999999997</v>
      </c>
      <c r="M123" s="17">
        <f t="shared" si="20"/>
        <v>4.125</v>
      </c>
      <c r="N123" s="40">
        <f t="shared" si="21"/>
        <v>675</v>
      </c>
      <c r="O123" s="24">
        <f t="shared" si="22"/>
        <v>0.19565217391304349</v>
      </c>
      <c r="P123" s="3" t="s">
        <v>32</v>
      </c>
      <c r="Q123" s="31" t="str">
        <f t="shared" si="15"/>
        <v xml:space="preserve"> Profit :  20 % |  Rs. 675  |  in 5 min.
4.6--&gt;5.5 
3.5 k --&gt; 4.1k 
Profit: Rs. 675 ( 20 % ) in 5 min 
 #ST23022601
Enjoy the Profits</v>
      </c>
      <c r="R123" s="3" t="str">
        <f t="shared" si="16"/>
        <v>4.6--&gt;5.5 
3.5 k --&gt; 4.1k 
Profit: Rs. 675 ( 20 % ) in 5 min 
 #ST20022601</v>
      </c>
      <c r="S123" s="3" t="str">
        <f t="shared" si="13"/>
        <v>#ST23022601</v>
      </c>
      <c r="Z123" s="34"/>
    </row>
    <row r="124" spans="1:26" x14ac:dyDescent="0.35">
      <c r="A124" s="35">
        <v>121</v>
      </c>
      <c r="B124" s="15">
        <v>46076</v>
      </c>
      <c r="C124" s="1" t="s">
        <v>20</v>
      </c>
      <c r="E124" s="3" t="str">
        <f t="shared" si="14"/>
        <v>Option</v>
      </c>
      <c r="F124" s="18">
        <v>0.39444444444444443</v>
      </c>
      <c r="G124" s="3" t="s">
        <v>190</v>
      </c>
      <c r="H124" s="53">
        <v>750</v>
      </c>
      <c r="I124" s="12">
        <v>23.1</v>
      </c>
      <c r="J124" s="50">
        <v>21.5</v>
      </c>
      <c r="K124" s="3">
        <v>21.5</v>
      </c>
      <c r="L124" s="17">
        <f t="shared" si="23"/>
        <v>17.324999999999999</v>
      </c>
      <c r="M124" s="17">
        <f t="shared" si="20"/>
        <v>16.125</v>
      </c>
      <c r="N124" s="40">
        <f t="shared" si="21"/>
        <v>-1200</v>
      </c>
      <c r="O124" s="24">
        <f t="shared" si="22"/>
        <v>-6.9264069264069264E-2</v>
      </c>
      <c r="P124" s="3" t="s">
        <v>49</v>
      </c>
      <c r="Q124" s="31" t="str">
        <f t="shared" si="15"/>
        <v xml:space="preserve"> Profit :  -7 % |  Rs. -1,200  |  in 15 min.
23.1--&gt;21.5 
17.3 k --&gt; 16.1k 
Profit: Rs. -1,200 ( -7 % ) in 15 min 
 #ST23022602
Enjoy the Profits</v>
      </c>
      <c r="R124" s="3" t="str">
        <f t="shared" si="16"/>
        <v>23.1--&gt;21.5 
17.3 k --&gt; 16.1k 
Profit: Rs. -1,200 ( -7 % ) in 15 min 
 #ST23022602</v>
      </c>
      <c r="S124" s="3" t="str">
        <f t="shared" si="13"/>
        <v>#ST23022602</v>
      </c>
      <c r="Z124" s="34"/>
    </row>
    <row r="125" spans="1:26" x14ac:dyDescent="0.35">
      <c r="A125" s="35">
        <v>122</v>
      </c>
      <c r="B125" s="15">
        <v>46076</v>
      </c>
      <c r="C125" s="1" t="s">
        <v>24</v>
      </c>
      <c r="E125" s="3" t="str">
        <f t="shared" si="14"/>
        <v>Option</v>
      </c>
      <c r="F125" s="18">
        <v>0.40416666666666667</v>
      </c>
      <c r="G125" s="3" t="s">
        <v>191</v>
      </c>
      <c r="H125" s="53">
        <v>400</v>
      </c>
      <c r="I125" s="12">
        <v>47.6</v>
      </c>
      <c r="J125" s="50">
        <v>77</v>
      </c>
      <c r="L125" s="17">
        <f t="shared" si="23"/>
        <v>19.04</v>
      </c>
      <c r="M125" s="17">
        <f t="shared" si="20"/>
        <v>30.8</v>
      </c>
      <c r="N125" s="40">
        <f t="shared" si="21"/>
        <v>11760</v>
      </c>
      <c r="O125" s="24">
        <f t="shared" si="22"/>
        <v>0.61764705882352944</v>
      </c>
      <c r="P125" s="3" t="s">
        <v>48</v>
      </c>
      <c r="Q125" s="31" t="str">
        <f t="shared" si="15"/>
        <v xml:space="preserve"> Profit :  62 % |  Rs. 11,760  |  in 90 min.
47.6--&gt;77 
19 k --&gt; 30.8k 
Profit: Rs. 11,760 ( 62 % ) in 90 min 
 #ST23022603
Enjoy the Profits</v>
      </c>
      <c r="R125" s="3" t="str">
        <f t="shared" si="16"/>
        <v>47.6--&gt;77 
19 k --&gt; 30.8k 
Profit: Rs. 11,760 ( 62 % ) in 90 min 
 #ST23022603</v>
      </c>
      <c r="S125" s="3" t="str">
        <f t="shared" si="13"/>
        <v>#ST23022603</v>
      </c>
      <c r="Z125" s="34"/>
    </row>
    <row r="126" spans="1:26" x14ac:dyDescent="0.35">
      <c r="A126" s="35">
        <v>123</v>
      </c>
      <c r="B126" s="15">
        <v>46076</v>
      </c>
      <c r="C126" s="1" t="s">
        <v>25</v>
      </c>
      <c r="E126" s="3" t="str">
        <f t="shared" si="14"/>
        <v>Option</v>
      </c>
      <c r="F126" s="18">
        <v>0.14097222222222222</v>
      </c>
      <c r="G126" s="3" t="s">
        <v>192</v>
      </c>
      <c r="H126" s="53">
        <v>750</v>
      </c>
      <c r="I126" s="12">
        <v>24.3</v>
      </c>
      <c r="J126" s="50">
        <v>177.9</v>
      </c>
      <c r="L126" s="17">
        <f t="shared" si="23"/>
        <v>18.225000000000001</v>
      </c>
      <c r="M126" s="17">
        <f t="shared" si="20"/>
        <v>133.42500000000001</v>
      </c>
      <c r="N126" s="40">
        <f t="shared" si="21"/>
        <v>115200</v>
      </c>
      <c r="O126" s="24">
        <f t="shared" si="22"/>
        <v>6.3209876543209873</v>
      </c>
      <c r="P126" s="3" t="s">
        <v>238</v>
      </c>
      <c r="Q126" s="31" t="str">
        <f t="shared" si="15"/>
        <v xml:space="preserve"> Profit :  632 % |  Rs. 1,15,200  |  in 20 days.
24.3--&gt;177.9 
18.2 k --&gt; 133.4k 
Profit: Rs. 1,15,200 ( 632 % ) in 20 days 
 #ST23022604
Enjoy the Profits</v>
      </c>
      <c r="R126" s="3" t="str">
        <f t="shared" si="16"/>
        <v>632 % 
One more call with over 632 % returns  in  20 days 
24.3--&gt;177.9 
18.2 k --&gt; 133.4k 
Profit: Rs. 1,15,200 ( 632 % )  in 20 days 
 #ST23022604</v>
      </c>
      <c r="S126" s="3" t="str">
        <f t="shared" si="13"/>
        <v>#ST23022604</v>
      </c>
      <c r="Z126" s="34"/>
    </row>
    <row r="127" spans="1:26" x14ac:dyDescent="0.35">
      <c r="A127" s="35">
        <v>124</v>
      </c>
      <c r="B127" s="15">
        <v>46077</v>
      </c>
      <c r="C127" s="1" t="s">
        <v>23</v>
      </c>
      <c r="D127" s="2">
        <v>46078</v>
      </c>
      <c r="E127" s="3" t="str">
        <f t="shared" si="14"/>
        <v>Option</v>
      </c>
      <c r="F127" s="18">
        <v>0.41041666666666665</v>
      </c>
      <c r="G127" s="3" t="s">
        <v>193</v>
      </c>
      <c r="H127" s="53">
        <v>125</v>
      </c>
      <c r="I127" s="12">
        <v>138.65</v>
      </c>
      <c r="J127" s="50">
        <v>159</v>
      </c>
      <c r="K127" s="3">
        <v>110</v>
      </c>
      <c r="L127" s="17">
        <f t="shared" si="23"/>
        <v>17.331250000000001</v>
      </c>
      <c r="M127" s="17">
        <f t="shared" si="20"/>
        <v>19.875</v>
      </c>
      <c r="N127" s="40">
        <f t="shared" si="21"/>
        <v>2544</v>
      </c>
      <c r="O127" s="24">
        <f t="shared" si="22"/>
        <v>0.14678687342228633</v>
      </c>
      <c r="P127" s="3" t="s">
        <v>58</v>
      </c>
      <c r="Q127" s="31" t="str">
        <f t="shared" si="15"/>
        <v xml:space="preserve"> Profit :  15 % |  Rs. 2,544  |  in 20 min.
138.65--&gt;159 
17.3 k --&gt; 19.9k 
Profit: Rs. 2,544 ( 15 % ) in 20 min 
 #ST24022601
Enjoy the Profits</v>
      </c>
      <c r="R127" s="3" t="str">
        <f t="shared" si="16"/>
        <v>138.65--&gt;159 
17.3 k --&gt; 19.9k 
Profit: Rs. 2,544 ( 15 % ) in 20 min 
 #ST23022601</v>
      </c>
      <c r="S127" s="3" t="str">
        <f t="shared" si="13"/>
        <v>#ST24022601</v>
      </c>
      <c r="Z127" s="34"/>
    </row>
    <row r="128" spans="1:26" x14ac:dyDescent="0.35">
      <c r="A128" s="35">
        <v>125</v>
      </c>
      <c r="B128" s="15">
        <v>46077</v>
      </c>
      <c r="C128" s="1" t="s">
        <v>20</v>
      </c>
      <c r="E128" s="3" t="str">
        <f t="shared" si="14"/>
        <v>Option</v>
      </c>
      <c r="F128" s="18">
        <v>0.4152777777777778</v>
      </c>
      <c r="G128" s="3" t="s">
        <v>194</v>
      </c>
      <c r="H128" s="53">
        <v>375</v>
      </c>
      <c r="I128" s="12">
        <v>54.2</v>
      </c>
      <c r="J128" s="50">
        <v>66.849999999999994</v>
      </c>
      <c r="L128" s="17">
        <f t="shared" si="23"/>
        <v>20.324999999999999</v>
      </c>
      <c r="M128" s="17">
        <f t="shared" si="20"/>
        <v>25.068749999999998</v>
      </c>
      <c r="N128" s="40">
        <f t="shared" si="21"/>
        <v>4744</v>
      </c>
      <c r="O128" s="24">
        <f t="shared" si="22"/>
        <v>0.23340713407134073</v>
      </c>
      <c r="Q128" s="31" t="str">
        <f t="shared" si="15"/>
        <v xml:space="preserve"> Profit :  23 % |  Rs. 4,744  |  in .
54.2--&gt;66.85 
20.3 k --&gt; 25.1k 
Profit: Rs. 4,744 ( 23 % ) in  
 #ST24022602
Enjoy the Profits</v>
      </c>
      <c r="R128" s="3" t="str">
        <f t="shared" si="16"/>
        <v>54.2--&gt;66.85 
20.3 k --&gt; 25.1k 
Profit: Rs. 4,744 ( 23 % ) in  
 #ST24022602</v>
      </c>
      <c r="S128" s="3" t="str">
        <f t="shared" si="13"/>
        <v>#ST24022602</v>
      </c>
      <c r="Z128" s="34"/>
    </row>
    <row r="129" spans="1:26" x14ac:dyDescent="0.35">
      <c r="A129" s="35">
        <v>126</v>
      </c>
      <c r="B129" s="15">
        <v>46077</v>
      </c>
      <c r="C129" s="1" t="s">
        <v>24</v>
      </c>
      <c r="E129" s="3" t="str">
        <f t="shared" si="14"/>
        <v>Option</v>
      </c>
      <c r="F129" s="18">
        <v>0.42499999999999999</v>
      </c>
      <c r="G129" s="3" t="s">
        <v>195</v>
      </c>
      <c r="H129" s="53">
        <v>65</v>
      </c>
      <c r="I129" s="12">
        <v>63.45</v>
      </c>
      <c r="J129" s="50">
        <v>164</v>
      </c>
      <c r="L129" s="17">
        <f t="shared" si="23"/>
        <v>4.12425</v>
      </c>
      <c r="M129" s="17">
        <f t="shared" si="20"/>
        <v>10.66</v>
      </c>
      <c r="N129" s="40">
        <f t="shared" si="21"/>
        <v>6536</v>
      </c>
      <c r="O129" s="24">
        <f t="shared" si="22"/>
        <v>1.584772989028308</v>
      </c>
      <c r="P129" s="3" t="s">
        <v>44</v>
      </c>
      <c r="Q129" s="31" t="str">
        <f t="shared" si="15"/>
        <v xml:space="preserve"> Profit :  158 % |  Rs. 6,536  |  in 2.5 hours.
63.45--&gt;164 
4.1 k --&gt; 10.7k 
Profit: Rs. 6,536 ( 158 % ) in 2.5 hours 
 #ST24022603
Enjoy the Profits</v>
      </c>
      <c r="R129" s="3" t="str">
        <f t="shared" si="16"/>
        <v>158 % 
One more call with over 158 % returns  in  2.5 hours 
63.45--&gt;164 
4.1 k --&gt; 10.7k 
Profit: Rs. 6,536 ( 158 % )  in 2.5 hours 
 #ST24022603</v>
      </c>
      <c r="S129" s="3" t="str">
        <f t="shared" si="13"/>
        <v>#ST24022603</v>
      </c>
      <c r="Z129" s="34"/>
    </row>
    <row r="130" spans="1:26" x14ac:dyDescent="0.35">
      <c r="A130" s="35">
        <v>127</v>
      </c>
      <c r="B130" s="15">
        <v>46077</v>
      </c>
      <c r="C130" s="1" t="s">
        <v>25</v>
      </c>
      <c r="E130" s="3" t="str">
        <f t="shared" si="14"/>
        <v>Option</v>
      </c>
      <c r="F130" s="18">
        <v>0.42569444444444443</v>
      </c>
      <c r="G130" s="3" t="s">
        <v>195</v>
      </c>
      <c r="H130" s="53">
        <v>65</v>
      </c>
      <c r="I130" s="12">
        <v>63.45</v>
      </c>
      <c r="J130" s="50">
        <v>118</v>
      </c>
      <c r="L130" s="17">
        <f t="shared" si="23"/>
        <v>4.12425</v>
      </c>
      <c r="M130" s="17">
        <f t="shared" si="20"/>
        <v>7.67</v>
      </c>
      <c r="N130" s="40">
        <f t="shared" si="21"/>
        <v>3546</v>
      </c>
      <c r="O130" s="24">
        <f t="shared" si="22"/>
        <v>0.85979268957992361</v>
      </c>
      <c r="P130" s="3" t="s">
        <v>33</v>
      </c>
      <c r="Q130" s="31" t="str">
        <f t="shared" si="15"/>
        <v xml:space="preserve"> Profit :  86 % |  Rs. 3,546  |  in 2 hours.
63.45--&gt;118 
4.1 k --&gt; 7.7k 
Profit: Rs. 3,546 ( 86 % ) in 2 hours 
 #ST24022604
Enjoy the Profits</v>
      </c>
      <c r="R130" s="3" t="str">
        <f t="shared" si="16"/>
        <v>63.45--&gt;118 
4.1 k --&gt; 7.7k 
Profit: Rs. 3,546 ( 86 % ) in 2 hours 
 #ST24022604</v>
      </c>
      <c r="S130" s="3" t="str">
        <f t="shared" si="13"/>
        <v>#ST24022604</v>
      </c>
      <c r="Z130" s="34"/>
    </row>
    <row r="131" spans="1:26" x14ac:dyDescent="0.35">
      <c r="A131" s="35">
        <v>128</v>
      </c>
      <c r="B131" s="15">
        <v>46078</v>
      </c>
      <c r="C131" s="1" t="s">
        <v>23</v>
      </c>
      <c r="E131" s="3" t="str">
        <f t="shared" si="14"/>
        <v>Option</v>
      </c>
      <c r="F131" s="18">
        <v>0.3923611111111111</v>
      </c>
      <c r="G131" s="3" t="s">
        <v>196</v>
      </c>
      <c r="H131" s="53">
        <v>1900</v>
      </c>
      <c r="I131" s="12">
        <v>10.199999999999999</v>
      </c>
      <c r="J131" s="50">
        <v>10.75</v>
      </c>
      <c r="K131" s="3">
        <v>9</v>
      </c>
      <c r="L131" s="17">
        <f t="shared" si="23"/>
        <v>19.38</v>
      </c>
      <c r="M131" s="17">
        <f t="shared" si="20"/>
        <v>20.425000000000001</v>
      </c>
      <c r="N131" s="40">
        <f t="shared" si="21"/>
        <v>1045</v>
      </c>
      <c r="O131" s="24">
        <f t="shared" si="22"/>
        <v>5.3921568627450983E-2</v>
      </c>
      <c r="P131" s="3" t="s">
        <v>197</v>
      </c>
      <c r="Q131" s="31" t="str">
        <f t="shared" si="15"/>
        <v xml:space="preserve"> Profit :  5 % |  Rs. 1,045  |  in 3 min.
10.2--&gt;10.75 
19.4 k --&gt; 20.4k 
Profit: Rs. 1,045 ( 5 % ) in 3 min 
 #ST25022601
Enjoy the Profits</v>
      </c>
      <c r="R131" s="3" t="str">
        <f t="shared" si="16"/>
        <v>10.2--&gt;10.75 
19.4 k --&gt; 20.4k 
Profit: Rs. 1,045 ( 5 % ) in 3 min 
 #ST24022601</v>
      </c>
      <c r="S131" s="3" t="str">
        <f t="shared" si="13"/>
        <v>#ST25022601</v>
      </c>
      <c r="Z131" s="34"/>
    </row>
    <row r="132" spans="1:26" x14ac:dyDescent="0.35">
      <c r="A132" s="35">
        <v>129</v>
      </c>
      <c r="B132" s="15">
        <v>46078</v>
      </c>
      <c r="C132" s="1" t="s">
        <v>20</v>
      </c>
      <c r="E132" s="3" t="str">
        <f t="shared" si="14"/>
        <v>Option</v>
      </c>
      <c r="F132" s="18">
        <v>0.39583333333333331</v>
      </c>
      <c r="G132" s="3" t="s">
        <v>198</v>
      </c>
      <c r="H132" s="53">
        <v>50</v>
      </c>
      <c r="I132" s="12">
        <v>417.55</v>
      </c>
      <c r="J132" s="50">
        <v>561</v>
      </c>
      <c r="K132" s="3">
        <v>390</v>
      </c>
      <c r="L132" s="3">
        <f t="shared" si="23"/>
        <v>20.877500000000001</v>
      </c>
      <c r="M132" s="3">
        <f t="shared" ref="M132:M163" si="24">IF(H132&lt;&gt;0,H132*J132/1000,"")</f>
        <v>28.05</v>
      </c>
      <c r="N132" s="40">
        <f t="shared" ref="N132:N163" si="25">_xlfn.NUMBERVALUE(IF(H132&lt;&gt;0,TEXT(1000*(M132-L132),"#,##,###"),""))</f>
        <v>7173</v>
      </c>
      <c r="O132" s="24">
        <f t="shared" ref="O132:O163" si="26">IF(H132&lt;&gt;0, (N132/L132)/1000,"")</f>
        <v>0.3435756196862651</v>
      </c>
      <c r="P132" s="3" t="s">
        <v>40</v>
      </c>
      <c r="Q132" s="31" t="str">
        <f t="shared" si="15"/>
        <v xml:space="preserve"> Profit :  34 % |  Rs. 7,173  |  in 1 day.
417.55--&gt;561 
20.9 k --&gt; 28.1k 
Profit: Rs. 7,173 ( 34 % ) in 1 day 
 #ST25022602
Enjoy the Profits</v>
      </c>
      <c r="R132" s="3" t="str">
        <f t="shared" si="16"/>
        <v>417.55--&gt;561 
20.9 k --&gt; 28.1k 
Profit: Rs. 7,173 ( 34 % ) in 1 day 
 #ST25022602</v>
      </c>
      <c r="S132" s="3" t="str">
        <f t="shared" ref="S132:S195" si="27">IF(ISBLANK(G132),"", CONCATENATE( "#ST",TEXT(B132, "ddmmyy"),C132))</f>
        <v>#ST25022602</v>
      </c>
      <c r="Z132" s="34"/>
    </row>
    <row r="133" spans="1:26" x14ac:dyDescent="0.35">
      <c r="A133" s="35">
        <v>130</v>
      </c>
      <c r="B133" s="15">
        <v>46078</v>
      </c>
      <c r="C133" s="1" t="s">
        <v>24</v>
      </c>
      <c r="E133" s="3" t="str">
        <f t="shared" ref="E133:E196" si="28">IF(ISBLANK(G133),"",IF(RIGHT(G133,2)="CE","Option",IF(RIGHT(G133,2)="PE","Option","Stock")))</f>
        <v>Option</v>
      </c>
      <c r="F133" s="18">
        <v>0.39930555555555558</v>
      </c>
      <c r="G133" s="3" t="s">
        <v>199</v>
      </c>
      <c r="H133" s="53">
        <v>1350</v>
      </c>
      <c r="I133" s="12">
        <v>14.34</v>
      </c>
      <c r="J133" s="50">
        <v>15.85</v>
      </c>
      <c r="K133" s="3">
        <v>12.9</v>
      </c>
      <c r="L133" s="3">
        <f t="shared" si="23"/>
        <v>19.359000000000002</v>
      </c>
      <c r="M133" s="3">
        <f t="shared" si="24"/>
        <v>21.397500000000001</v>
      </c>
      <c r="N133" s="40">
        <f t="shared" si="25"/>
        <v>2039</v>
      </c>
      <c r="O133" s="24">
        <f t="shared" si="26"/>
        <v>0.1053256883103466</v>
      </c>
      <c r="P133" s="3" t="s">
        <v>57</v>
      </c>
      <c r="Q133" s="31" t="str">
        <f t="shared" ref="Q133:Q196" si="29">IF(H133&lt;&gt;0,_xlfn.CONCAT(" Profit :  ",ROUND(O133*100,0)," % |  Rs. ",TEXT(ROUND(N133,1),"#,##,###"),     "  |  in ", P133,".
", I133,"--&gt;",J133," 
",ROUND(L133,1)," k --&gt; ",ROUND(M133,1),"k"," 
","Profit: Rs. ",TEXT(ROUND(N133,1),"#,##,###")," ( ",ROUND(O133*100,0)," % ) ","in ",P133," 
 #ST",TEXT(B133,"ddmmyy"),C133, "
Enjoy the Profits"),"")</f>
        <v xml:space="preserve"> Profit :  11 % |  Rs. 2,039  |  in 25 min.
14.34--&gt;15.85 
19.4 k --&gt; 21.4k 
Profit: Rs. 2,039 ( 11 % ) in 25 min 
 #ST25022603
Enjoy the Profits</v>
      </c>
      <c r="R133" s="3" t="str">
        <f t="shared" ref="R133:R196" si="30">IF(H133&lt;&gt;0,IF(O133&gt;1,(_xlfn.CONCAT(ROUND(O133*100,0)," % ","
",  "One more call with over ", ROUND(O133*100,0)," % returns  in  ", P133," 
", I133, "--&gt;", J133, " 
", ROUND(L133,1)," k --&gt; ", ROUND(M133,1),"k"," 
Profit: Rs. ",TEXT(ROUND(N133,1),"#,##,###")," ( ",ROUND(O133*100,0)," % )  in ",P133," 
 #ST",TEXT(B132, "ddmmyy"),C133)), _xlfn.CONCAT(I133, "--&gt;", J133, " 
", ROUND(L133,1)," k --&gt; ", ROUND(M133,1),"k"," 
","Profit: Rs. ",TEXT(ROUND(N133,1),"#,##,###")," ( ",ROUND(O133*100,0)," % ) ", "in ",P133," 
 #ST",TEXT(B132, "ddmmyy"),C133)
),"")</f>
        <v>14.34--&gt;15.85 
19.4 k --&gt; 21.4k 
Profit: Rs. 2,039 ( 11 % ) in 25 min 
 #ST25022603</v>
      </c>
      <c r="S133" s="3" t="str">
        <f t="shared" si="27"/>
        <v>#ST25022603</v>
      </c>
      <c r="Z133" s="34"/>
    </row>
    <row r="134" spans="1:26" x14ac:dyDescent="0.35">
      <c r="A134" s="35">
        <v>131</v>
      </c>
      <c r="B134" s="15">
        <v>46078</v>
      </c>
      <c r="C134" s="1" t="s">
        <v>25</v>
      </c>
      <c r="E134" s="3" t="str">
        <f t="shared" si="28"/>
        <v>Option</v>
      </c>
      <c r="F134" s="18">
        <v>0.42430555555555555</v>
      </c>
      <c r="G134" s="3" t="s">
        <v>200</v>
      </c>
      <c r="H134" s="53">
        <v>5500</v>
      </c>
      <c r="I134" s="12">
        <v>3.49</v>
      </c>
      <c r="J134" s="50">
        <v>4.04</v>
      </c>
      <c r="L134" s="3">
        <f t="shared" si="23"/>
        <v>19.195</v>
      </c>
      <c r="M134" s="3">
        <f t="shared" si="24"/>
        <v>22.22</v>
      </c>
      <c r="N134" s="40">
        <f t="shared" si="25"/>
        <v>3025</v>
      </c>
      <c r="O134" s="24">
        <f t="shared" si="26"/>
        <v>0.15759312320916904</v>
      </c>
      <c r="P134" s="3" t="s">
        <v>68</v>
      </c>
      <c r="Q134" s="31" t="str">
        <f t="shared" si="29"/>
        <v xml:space="preserve"> Profit :  16 % |  Rs. 3,025  |  in 28 min.
3.49--&gt;4.04 
19.2 k --&gt; 22.2k 
Profit: Rs. 3,025 ( 16 % ) in 28 min 
 #ST25022604
Enjoy the Profits</v>
      </c>
      <c r="R134" s="3" t="str">
        <f t="shared" si="30"/>
        <v>3.49--&gt;4.04 
19.2 k --&gt; 22.2k 
Profit: Rs. 3,025 ( 16 % ) in 28 min 
 #ST25022604</v>
      </c>
      <c r="S134" s="3" t="str">
        <f t="shared" si="27"/>
        <v>#ST25022604</v>
      </c>
      <c r="Z134" s="34"/>
    </row>
    <row r="135" spans="1:26" x14ac:dyDescent="0.35">
      <c r="A135" s="35">
        <v>132</v>
      </c>
      <c r="B135" s="15">
        <v>46078</v>
      </c>
      <c r="C135" s="1" t="s">
        <v>26</v>
      </c>
      <c r="E135" s="3" t="str">
        <f t="shared" si="28"/>
        <v>Option</v>
      </c>
      <c r="F135" s="18">
        <v>0.14027777777777778</v>
      </c>
      <c r="G135" s="3" t="s">
        <v>204</v>
      </c>
      <c r="H135" s="53">
        <v>15</v>
      </c>
      <c r="I135" s="12">
        <v>968</v>
      </c>
      <c r="J135" s="50">
        <v>1650</v>
      </c>
      <c r="L135" s="3">
        <f t="shared" si="23"/>
        <v>14.52</v>
      </c>
      <c r="M135" s="3">
        <f t="shared" si="24"/>
        <v>24.75</v>
      </c>
      <c r="N135" s="40">
        <f t="shared" si="25"/>
        <v>10230</v>
      </c>
      <c r="O135" s="24">
        <f t="shared" si="26"/>
        <v>0.70454545454545459</v>
      </c>
      <c r="P135" s="3" t="s">
        <v>53</v>
      </c>
      <c r="Q135" s="31" t="str">
        <f t="shared" si="29"/>
        <v xml:space="preserve"> Profit :  70 % |  Rs. 10,230  |  in 3 days.
968--&gt;1650 
14.5 k --&gt; 24.8k 
Profit: Rs. 10,230 ( 70 % ) in 3 days 
 #ST25022605
Enjoy the Profits</v>
      </c>
      <c r="R135" s="3" t="str">
        <f t="shared" si="30"/>
        <v>968--&gt;1650 
14.5 k --&gt; 24.8k 
Profit: Rs. 10,230 ( 70 % ) in 3 days 
 #ST25022605</v>
      </c>
      <c r="S135" s="3" t="str">
        <f t="shared" si="27"/>
        <v>#ST25022605</v>
      </c>
      <c r="Z135" s="34"/>
    </row>
    <row r="136" spans="1:26" x14ac:dyDescent="0.35">
      <c r="A136" s="35">
        <v>133</v>
      </c>
      <c r="B136" s="15">
        <v>46078</v>
      </c>
      <c r="C136" s="1" t="s">
        <v>27</v>
      </c>
      <c r="E136" s="3" t="str">
        <f t="shared" si="28"/>
        <v>Option</v>
      </c>
      <c r="F136" s="18">
        <v>0.14444444444444443</v>
      </c>
      <c r="G136" s="3" t="s">
        <v>203</v>
      </c>
      <c r="H136" s="53">
        <v>50</v>
      </c>
      <c r="I136" s="12">
        <v>378</v>
      </c>
      <c r="J136" s="50">
        <v>408</v>
      </c>
      <c r="L136" s="3">
        <f t="shared" si="23"/>
        <v>18.899999999999999</v>
      </c>
      <c r="M136" s="3">
        <f t="shared" si="24"/>
        <v>20.399999999999999</v>
      </c>
      <c r="N136" s="40">
        <f t="shared" si="25"/>
        <v>1500</v>
      </c>
      <c r="O136" s="24">
        <f t="shared" si="26"/>
        <v>7.9365079365079361E-2</v>
      </c>
      <c r="P136" s="3" t="s">
        <v>21</v>
      </c>
      <c r="Q136" s="31" t="str">
        <f t="shared" si="29"/>
        <v xml:space="preserve"> Profit :  8 % |  Rs. 1,500  |  in Overnight.
378--&gt;408 
18.9 k --&gt; 20.4k 
Profit: Rs. 1,500 ( 8 % ) in Overnight 
 #ST25022606
Enjoy the Profits</v>
      </c>
      <c r="R136" s="3" t="str">
        <f t="shared" si="30"/>
        <v>378--&gt;408 
18.9 k --&gt; 20.4k 
Profit: Rs. 1,500 ( 8 % ) in Overnight 
 #ST25022606</v>
      </c>
      <c r="S136" s="3" t="str">
        <f t="shared" si="27"/>
        <v>#ST25022606</v>
      </c>
      <c r="Z136" s="34"/>
    </row>
    <row r="137" spans="1:26" x14ac:dyDescent="0.35">
      <c r="A137" s="35">
        <v>134</v>
      </c>
      <c r="B137" s="15">
        <v>46079</v>
      </c>
      <c r="C137" s="1" t="s">
        <v>23</v>
      </c>
      <c r="E137" s="3" t="str">
        <f t="shared" si="28"/>
        <v>Option</v>
      </c>
      <c r="F137" s="18">
        <v>0.39652777777777776</v>
      </c>
      <c r="G137" s="3" t="s">
        <v>201</v>
      </c>
      <c r="H137" s="53">
        <v>625</v>
      </c>
      <c r="I137" s="12">
        <v>28.5</v>
      </c>
      <c r="J137" s="50">
        <v>36.5</v>
      </c>
      <c r="L137" s="3">
        <f t="shared" si="23"/>
        <v>17.8125</v>
      </c>
      <c r="M137" s="3">
        <f t="shared" si="24"/>
        <v>22.8125</v>
      </c>
      <c r="N137" s="40">
        <f t="shared" si="25"/>
        <v>5000</v>
      </c>
      <c r="O137" s="24">
        <f t="shared" si="26"/>
        <v>0.28070175438596495</v>
      </c>
      <c r="P137" s="3" t="s">
        <v>87</v>
      </c>
      <c r="Q137" s="31" t="str">
        <f t="shared" si="29"/>
        <v xml:space="preserve"> Profit :  28 % |  Rs. 5,000  |  in 7 min.
28.5--&gt;36.5 
17.8 k --&gt; 22.8k 
Profit: Rs. 5,000 ( 28 % ) in 7 min 
 #ST26022601
Enjoy the Profits</v>
      </c>
      <c r="R137" s="3" t="str">
        <f t="shared" si="30"/>
        <v>28.5--&gt;36.5 
17.8 k --&gt; 22.8k 
Profit: Rs. 5,000 ( 28 % ) in 7 min 
 #ST25022601</v>
      </c>
      <c r="S137" s="3" t="str">
        <f t="shared" si="27"/>
        <v>#ST26022601</v>
      </c>
      <c r="Z137" s="34"/>
    </row>
    <row r="138" spans="1:26" x14ac:dyDescent="0.35">
      <c r="A138" s="35">
        <v>135</v>
      </c>
      <c r="B138" s="15">
        <v>46079</v>
      </c>
      <c r="C138" s="1" t="s">
        <v>20</v>
      </c>
      <c r="E138" s="3" t="str">
        <f t="shared" si="28"/>
        <v>Option</v>
      </c>
      <c r="F138" s="18">
        <v>0.3972222222222222</v>
      </c>
      <c r="G138" s="3" t="s">
        <v>202</v>
      </c>
      <c r="H138" s="53">
        <v>6750</v>
      </c>
      <c r="I138" s="12">
        <v>2.75</v>
      </c>
      <c r="J138" s="50">
        <v>2.95</v>
      </c>
      <c r="L138" s="3">
        <f t="shared" si="23"/>
        <v>18.5625</v>
      </c>
      <c r="M138" s="3">
        <f t="shared" si="24"/>
        <v>19.912500000000001</v>
      </c>
      <c r="N138" s="40">
        <f t="shared" si="25"/>
        <v>1350</v>
      </c>
      <c r="O138" s="24">
        <f t="shared" si="26"/>
        <v>7.2727272727272738E-2</v>
      </c>
      <c r="P138" s="3" t="s">
        <v>88</v>
      </c>
      <c r="Q138" s="31" t="str">
        <f t="shared" si="29"/>
        <v xml:space="preserve"> Profit :  7 % |  Rs. 1,350  |  in 8 min.
2.75--&gt;2.95 
18.6 k --&gt; 19.9k 
Profit: Rs. 1,350 ( 7 % ) in 8 min 
 #ST26022602
Enjoy the Profits</v>
      </c>
      <c r="R138" s="3" t="str">
        <f t="shared" si="30"/>
        <v>2.75--&gt;2.95 
18.6 k --&gt; 19.9k 
Profit: Rs. 1,350 ( 7 % ) in 8 min 
 #ST26022602</v>
      </c>
      <c r="S138" s="3" t="str">
        <f t="shared" si="27"/>
        <v>#ST26022602</v>
      </c>
      <c r="Z138" s="34"/>
    </row>
    <row r="139" spans="1:26" x14ac:dyDescent="0.35">
      <c r="A139" s="35">
        <v>136</v>
      </c>
      <c r="B139" s="15">
        <v>46079</v>
      </c>
      <c r="C139" s="1" t="s">
        <v>24</v>
      </c>
      <c r="E139" s="3" t="str">
        <f t="shared" si="28"/>
        <v>Option</v>
      </c>
      <c r="G139" s="3" t="s">
        <v>206</v>
      </c>
      <c r="H139" s="53">
        <v>825</v>
      </c>
      <c r="I139" s="12">
        <v>23.05</v>
      </c>
      <c r="J139" s="50"/>
      <c r="L139" s="3">
        <f t="shared" si="23"/>
        <v>19.016249999999999</v>
      </c>
      <c r="M139" s="3">
        <f t="shared" si="24"/>
        <v>0</v>
      </c>
      <c r="N139" s="40">
        <f t="shared" si="25"/>
        <v>-19016</v>
      </c>
      <c r="O139" s="24">
        <f t="shared" si="26"/>
        <v>-0.99998685334910931</v>
      </c>
      <c r="Q139" s="31" t="str">
        <f t="shared" si="29"/>
        <v xml:space="preserve"> Profit :  -100 % |  Rs. -19,016  |  in .
23.05--&gt; 
19 k --&gt; 0k 
Profit: Rs. -19,016 ( -100 % ) in  
 #ST26022603
Enjoy the Profits</v>
      </c>
      <c r="R139" s="3" t="str">
        <f t="shared" si="30"/>
        <v>23.05--&gt; 
19 k --&gt; 0k 
Profit: Rs. -19,016 ( -100 % ) in  
 #ST26022603</v>
      </c>
      <c r="S139" s="3" t="str">
        <f t="shared" si="27"/>
        <v>#ST26022603</v>
      </c>
      <c r="Z139" s="34"/>
    </row>
    <row r="140" spans="1:26" x14ac:dyDescent="0.35">
      <c r="A140" s="35">
        <v>137</v>
      </c>
      <c r="B140" s="15">
        <v>46079</v>
      </c>
      <c r="C140" s="1" t="s">
        <v>25</v>
      </c>
      <c r="E140" s="3" t="str">
        <f t="shared" si="28"/>
        <v>Option</v>
      </c>
      <c r="G140" s="3" t="s">
        <v>207</v>
      </c>
      <c r="H140" s="53">
        <v>1100</v>
      </c>
      <c r="I140" s="12">
        <v>16.100000000000001</v>
      </c>
      <c r="J140" s="50">
        <v>112</v>
      </c>
      <c r="L140" s="3">
        <f t="shared" si="23"/>
        <v>17.71</v>
      </c>
      <c r="M140" s="3">
        <f t="shared" si="24"/>
        <v>123.2</v>
      </c>
      <c r="N140" s="40">
        <f t="shared" si="25"/>
        <v>105490</v>
      </c>
      <c r="O140" s="24">
        <f t="shared" si="26"/>
        <v>5.9565217391304337</v>
      </c>
      <c r="P140" s="3" t="s">
        <v>239</v>
      </c>
      <c r="Q140" s="31" t="str">
        <f t="shared" si="29"/>
        <v xml:space="preserve"> Profit :  596 % |  Rs. 1,05,490  |  in 14 days.
16.1--&gt;112 
17.7 k --&gt; 123.2k 
Profit: Rs. 1,05,490 ( 596 % ) in 14 days 
 #ST26022604
Enjoy the Profits</v>
      </c>
      <c r="R140" s="3" t="str">
        <f t="shared" si="30"/>
        <v>596 % 
One more call with over 596 % returns  in  14 days 
16.1--&gt;112 
17.7 k --&gt; 123.2k 
Profit: Rs. 1,05,490 ( 596 % )  in 14 days 
 #ST26022604</v>
      </c>
      <c r="S140" s="3" t="str">
        <f t="shared" si="27"/>
        <v>#ST26022604</v>
      </c>
      <c r="Z140" s="34"/>
    </row>
    <row r="141" spans="1:26" x14ac:dyDescent="0.35">
      <c r="A141" s="35">
        <v>138</v>
      </c>
      <c r="B141" s="15">
        <v>46080</v>
      </c>
      <c r="C141" s="1" t="s">
        <v>23</v>
      </c>
      <c r="E141" s="3" t="str">
        <f t="shared" si="28"/>
        <v>Option</v>
      </c>
      <c r="F141" s="18">
        <v>0.39097222222222222</v>
      </c>
      <c r="G141" s="3" t="s">
        <v>205</v>
      </c>
      <c r="H141" s="53">
        <v>4700</v>
      </c>
      <c r="I141" s="12">
        <v>3.4</v>
      </c>
      <c r="J141" s="50">
        <v>4.17</v>
      </c>
      <c r="L141" s="3">
        <f t="shared" si="23"/>
        <v>15.98</v>
      </c>
      <c r="M141" s="3">
        <f t="shared" si="24"/>
        <v>19.599</v>
      </c>
      <c r="N141" s="40">
        <f t="shared" si="25"/>
        <v>3619</v>
      </c>
      <c r="O141" s="24">
        <f t="shared" si="26"/>
        <v>0.22647058823529412</v>
      </c>
      <c r="P141" s="3" t="s">
        <v>33</v>
      </c>
      <c r="Q141" s="31" t="str">
        <f t="shared" si="29"/>
        <v xml:space="preserve"> Profit :  23 % |  Rs. 3,619  |  in 2 hours.
3.4--&gt;4.17 
16 k --&gt; 19.6k 
Profit: Rs. 3,619 ( 23 % ) in 2 hours 
 #ST27022601
Enjoy the Profits</v>
      </c>
      <c r="R141" s="3" t="str">
        <f t="shared" si="30"/>
        <v>3.4--&gt;4.17 
16 k --&gt; 19.6k 
Profit: Rs. 3,619 ( 23 % ) in 2 hours 
 #ST26022601</v>
      </c>
      <c r="S141" s="3" t="str">
        <f t="shared" si="27"/>
        <v>#ST27022601</v>
      </c>
      <c r="Z141" s="34"/>
    </row>
    <row r="142" spans="1:26" x14ac:dyDescent="0.35">
      <c r="A142" s="35">
        <v>139</v>
      </c>
      <c r="B142" s="15">
        <v>46080</v>
      </c>
      <c r="C142" s="1" t="s">
        <v>20</v>
      </c>
      <c r="E142" s="3" t="str">
        <f t="shared" si="28"/>
        <v>Option</v>
      </c>
      <c r="F142" s="18">
        <v>0.39097222222222222</v>
      </c>
      <c r="G142" s="3" t="s">
        <v>209</v>
      </c>
      <c r="H142" s="53">
        <v>6750</v>
      </c>
      <c r="I142" s="12">
        <v>3.08</v>
      </c>
      <c r="J142" s="50">
        <v>3.44</v>
      </c>
      <c r="K142" s="3">
        <v>2.65</v>
      </c>
      <c r="L142" s="3">
        <f t="shared" si="23"/>
        <v>20.79</v>
      </c>
      <c r="M142" s="3">
        <f t="shared" si="24"/>
        <v>23.22</v>
      </c>
      <c r="N142" s="40">
        <f t="shared" si="25"/>
        <v>2430</v>
      </c>
      <c r="O142" s="24">
        <f t="shared" si="26"/>
        <v>0.11688311688311688</v>
      </c>
      <c r="Q142" s="31" t="str">
        <f t="shared" si="29"/>
        <v xml:space="preserve"> Profit :  12 % |  Rs. 2,430  |  in .
3.08--&gt;3.44 
20.8 k --&gt; 23.2k 
Profit: Rs. 2,430 ( 12 % ) in  
 #ST27022602
Enjoy the Profits</v>
      </c>
      <c r="R142" s="3" t="str">
        <f t="shared" si="30"/>
        <v>3.08--&gt;3.44 
20.8 k --&gt; 23.2k 
Profit: Rs. 2,430 ( 12 % ) in  
 #ST27022602</v>
      </c>
      <c r="S142" s="3" t="str">
        <f t="shared" si="27"/>
        <v>#ST27022602</v>
      </c>
      <c r="Z142" s="34"/>
    </row>
    <row r="143" spans="1:26" x14ac:dyDescent="0.35">
      <c r="A143" s="35">
        <v>140</v>
      </c>
      <c r="B143" s="15">
        <v>46080</v>
      </c>
      <c r="C143" s="1" t="s">
        <v>24</v>
      </c>
      <c r="E143" s="3" t="str">
        <f t="shared" si="28"/>
        <v>Option</v>
      </c>
      <c r="G143" s="3" t="s">
        <v>208</v>
      </c>
      <c r="H143" s="53">
        <v>65</v>
      </c>
      <c r="I143" s="12">
        <v>87.65</v>
      </c>
      <c r="J143" s="52">
        <v>528</v>
      </c>
      <c r="L143" s="3">
        <f t="shared" si="23"/>
        <v>5.6972500000000004</v>
      </c>
      <c r="M143" s="3">
        <f t="shared" si="24"/>
        <v>34.32</v>
      </c>
      <c r="N143" s="40">
        <f t="shared" si="25"/>
        <v>28623</v>
      </c>
      <c r="O143" s="24">
        <f t="shared" si="26"/>
        <v>5.0240028083724599</v>
      </c>
      <c r="P143" s="3" t="s">
        <v>40</v>
      </c>
      <c r="Q143" s="31" t="str">
        <f t="shared" si="29"/>
        <v xml:space="preserve"> Profit :  502 % |  Rs. 28,623  |  in 1 day.
87.65--&gt;528 
5.7 k --&gt; 34.3k 
Profit: Rs. 28,623 ( 502 % ) in 1 day 
 #ST27022603
Enjoy the Profits</v>
      </c>
      <c r="R143" s="3" t="str">
        <f t="shared" si="30"/>
        <v>502 % 
One more call with over 502 % returns  in  1 day 
87.65--&gt;528 
5.7 k --&gt; 34.3k 
Profit: Rs. 28,623 ( 502 % )  in 1 day 
 #ST27022603</v>
      </c>
      <c r="S143" s="3" t="str">
        <f t="shared" si="27"/>
        <v>#ST27022603</v>
      </c>
      <c r="Z143" s="34"/>
    </row>
    <row r="144" spans="1:26" x14ac:dyDescent="0.35">
      <c r="A144" s="35">
        <v>141</v>
      </c>
      <c r="E144" s="3" t="str">
        <f t="shared" si="28"/>
        <v>Option</v>
      </c>
      <c r="G144" s="3" t="s">
        <v>210</v>
      </c>
      <c r="H144" s="53">
        <v>400</v>
      </c>
      <c r="I144" s="12">
        <v>44.9</v>
      </c>
      <c r="J144" s="50">
        <v>56.2</v>
      </c>
      <c r="L144" s="3">
        <f t="shared" si="23"/>
        <v>17.96</v>
      </c>
      <c r="M144" s="3">
        <f t="shared" si="24"/>
        <v>22.48</v>
      </c>
      <c r="N144" s="40">
        <f t="shared" si="25"/>
        <v>4520</v>
      </c>
      <c r="O144" s="24">
        <f t="shared" si="26"/>
        <v>0.25167037861915365</v>
      </c>
      <c r="P144" s="3" t="s">
        <v>21</v>
      </c>
      <c r="Q144" s="31" t="str">
        <f t="shared" si="29"/>
        <v xml:space="preserve"> Profit :  25 % |  Rs. 4,520  |  in Overnight.
44.9--&gt;56.2 
18 k --&gt; 22.5k 
Profit: Rs. 4,520 ( 25 % ) in Overnight 
 #ST000100
Enjoy the Profits</v>
      </c>
      <c r="R144" s="3" t="str">
        <f t="shared" si="30"/>
        <v>44.9--&gt;56.2 
18 k --&gt; 22.5k 
Profit: Rs. 4,520 ( 25 % ) in Overnight 
 #ST270226</v>
      </c>
      <c r="S144" s="3" t="str">
        <f t="shared" si="27"/>
        <v>#ST000100</v>
      </c>
      <c r="Z144" s="34"/>
    </row>
    <row r="145" spans="1:26" x14ac:dyDescent="0.35">
      <c r="A145" s="35">
        <v>142</v>
      </c>
      <c r="E145" s="3" t="str">
        <f t="shared" si="28"/>
        <v>Option</v>
      </c>
      <c r="G145" s="3" t="s">
        <v>211</v>
      </c>
      <c r="H145" s="53">
        <v>800</v>
      </c>
      <c r="I145" s="12">
        <v>8.0500000000000007</v>
      </c>
      <c r="J145" s="50"/>
      <c r="L145" s="3">
        <f t="shared" si="23"/>
        <v>6.4400000000000013</v>
      </c>
      <c r="M145" s="3">
        <f t="shared" si="24"/>
        <v>0</v>
      </c>
      <c r="N145" s="40">
        <f t="shared" si="25"/>
        <v>-6440</v>
      </c>
      <c r="O145" s="24">
        <f t="shared" si="26"/>
        <v>-0.99999999999999978</v>
      </c>
      <c r="Q145" s="31" t="str">
        <f t="shared" si="29"/>
        <v xml:space="preserve"> Profit :  -100 % |  Rs. -6,440  |  in .
8.05--&gt; 
6.4 k --&gt; 0k 
Profit: Rs. -6,440 ( -100 % ) in  
 #ST000100
Enjoy the Profits</v>
      </c>
      <c r="R145" s="3" t="str">
        <f t="shared" si="30"/>
        <v>8.05--&gt; 
6.4 k --&gt; 0k 
Profit: Rs. -6,440 ( -100 % ) in  
 #ST000100</v>
      </c>
      <c r="S145" s="3" t="str">
        <f t="shared" si="27"/>
        <v>#ST000100</v>
      </c>
      <c r="Z145" s="34"/>
    </row>
    <row r="146" spans="1:26" x14ac:dyDescent="0.35">
      <c r="A146" s="35">
        <v>143</v>
      </c>
      <c r="B146" s="15">
        <v>46084</v>
      </c>
      <c r="C146" s="1" t="s">
        <v>23</v>
      </c>
      <c r="E146" s="3" t="str">
        <f t="shared" si="28"/>
        <v>Option</v>
      </c>
      <c r="F146" s="18">
        <v>0.3888888888888889</v>
      </c>
      <c r="G146" s="3" t="s">
        <v>214</v>
      </c>
      <c r="H146" s="53">
        <v>625</v>
      </c>
      <c r="I146" s="12">
        <v>24.35</v>
      </c>
      <c r="J146" s="50"/>
      <c r="L146" s="3">
        <f t="shared" si="23"/>
        <v>15.21875</v>
      </c>
      <c r="M146" s="3">
        <f t="shared" si="24"/>
        <v>0</v>
      </c>
      <c r="N146" s="40">
        <f t="shared" si="25"/>
        <v>-15219</v>
      </c>
      <c r="O146" s="24">
        <f t="shared" si="26"/>
        <v>-1.0000164271047227</v>
      </c>
      <c r="Q146" s="31" t="str">
        <f t="shared" si="29"/>
        <v xml:space="preserve"> Profit :  -100 % |  Rs. -15,219  |  in .
24.35--&gt; 
15.2 k --&gt; 0k 
Profit: Rs. -15,219 ( -100 % ) in  
 #ST03032601
Enjoy the Profits</v>
      </c>
      <c r="R146" s="3" t="str">
        <f t="shared" si="30"/>
        <v>24.35--&gt; 
15.2 k --&gt; 0k 
Profit: Rs. -15,219 ( -100 % ) in  
 #ST00010001</v>
      </c>
      <c r="S146" s="3" t="str">
        <f t="shared" si="27"/>
        <v>#ST03032601</v>
      </c>
      <c r="Z146" s="34"/>
    </row>
    <row r="147" spans="1:26" x14ac:dyDescent="0.35">
      <c r="A147" s="35">
        <v>144</v>
      </c>
      <c r="B147" s="15">
        <v>46084</v>
      </c>
      <c r="C147" s="1" t="s">
        <v>20</v>
      </c>
      <c r="E147" s="3" t="str">
        <f t="shared" si="28"/>
        <v>Option</v>
      </c>
      <c r="F147" s="18">
        <v>0.39166666666666666</v>
      </c>
      <c r="G147" s="3" t="s">
        <v>213</v>
      </c>
      <c r="H147" s="53">
        <v>625</v>
      </c>
      <c r="I147" s="12">
        <v>30.1</v>
      </c>
      <c r="J147" s="50">
        <v>32</v>
      </c>
      <c r="L147" s="3">
        <f t="shared" si="23"/>
        <v>18.8125</v>
      </c>
      <c r="M147" s="3">
        <f t="shared" si="24"/>
        <v>20</v>
      </c>
      <c r="N147" s="40">
        <f t="shared" si="25"/>
        <v>1188</v>
      </c>
      <c r="O147" s="24">
        <f t="shared" si="26"/>
        <v>6.3149501661129565E-2</v>
      </c>
      <c r="Q147" s="31" t="str">
        <f t="shared" si="29"/>
        <v xml:space="preserve"> Profit :  6 % |  Rs. 1,188  |  in .
30.1--&gt;32 
18.8 k --&gt; 20k 
Profit: Rs. 1,188 ( 6 % ) in  
 #ST03032602
Enjoy the Profits</v>
      </c>
      <c r="R147" s="3" t="str">
        <f t="shared" si="30"/>
        <v>30.1--&gt;32 
18.8 k --&gt; 20k 
Profit: Rs. 1,188 ( 6 % ) in  
 #ST03032602</v>
      </c>
      <c r="S147" s="3" t="str">
        <f t="shared" si="27"/>
        <v>#ST03032602</v>
      </c>
      <c r="Z147" s="34"/>
    </row>
    <row r="148" spans="1:26" x14ac:dyDescent="0.35">
      <c r="A148" s="35">
        <v>145</v>
      </c>
      <c r="B148" s="15">
        <v>46084</v>
      </c>
      <c r="C148" s="1" t="s">
        <v>24</v>
      </c>
      <c r="E148" s="3" t="str">
        <f t="shared" si="28"/>
        <v>Option</v>
      </c>
      <c r="F148" s="18">
        <v>0.39374999999999999</v>
      </c>
      <c r="G148" s="3" t="s">
        <v>212</v>
      </c>
      <c r="H148" s="53">
        <v>1425</v>
      </c>
      <c r="I148" s="12">
        <v>14.05</v>
      </c>
      <c r="J148" s="50"/>
      <c r="L148" s="3">
        <f t="shared" si="23"/>
        <v>20.021249999999998</v>
      </c>
      <c r="M148" s="3">
        <f t="shared" si="24"/>
        <v>0</v>
      </c>
      <c r="N148" s="40">
        <f t="shared" si="25"/>
        <v>-20021</v>
      </c>
      <c r="O148" s="24">
        <f t="shared" si="26"/>
        <v>-0.99998751326715374</v>
      </c>
      <c r="Q148" s="31" t="str">
        <f t="shared" si="29"/>
        <v xml:space="preserve"> Profit :  -100 % |  Rs. -20,021  |  in .
14.05--&gt; 
20 k --&gt; 0k 
Profit: Rs. -20,021 ( -100 % ) in  
 #ST03032603
Enjoy the Profits</v>
      </c>
      <c r="R148" s="3" t="str">
        <f t="shared" si="30"/>
        <v>14.05--&gt; 
20 k --&gt; 0k 
Profit: Rs. -20,021 ( -100 % ) in  
 #ST03032603</v>
      </c>
      <c r="S148" s="3" t="str">
        <f t="shared" si="27"/>
        <v>#ST03032603</v>
      </c>
      <c r="Z148" s="34"/>
    </row>
    <row r="149" spans="1:26" x14ac:dyDescent="0.35">
      <c r="A149" s="35">
        <v>146</v>
      </c>
      <c r="E149" s="3" t="str">
        <f t="shared" si="28"/>
        <v/>
      </c>
      <c r="H149" s="53"/>
      <c r="J149" s="50"/>
      <c r="L149" s="3" t="str">
        <f t="shared" si="23"/>
        <v/>
      </c>
      <c r="M149" s="3" t="str">
        <f t="shared" si="24"/>
        <v/>
      </c>
      <c r="N149" s="40">
        <f t="shared" si="25"/>
        <v>0</v>
      </c>
      <c r="O149" s="24" t="str">
        <f t="shared" si="26"/>
        <v/>
      </c>
      <c r="Q149" s="31" t="str">
        <f t="shared" si="29"/>
        <v/>
      </c>
      <c r="R149" s="3" t="str">
        <f t="shared" si="30"/>
        <v/>
      </c>
      <c r="S149" s="3" t="str">
        <f t="shared" si="27"/>
        <v/>
      </c>
      <c r="Z149" s="34"/>
    </row>
    <row r="150" spans="1:26" x14ac:dyDescent="0.35">
      <c r="A150" s="35">
        <v>147</v>
      </c>
      <c r="B150" s="15">
        <v>46085</v>
      </c>
      <c r="C150" s="1" t="s">
        <v>23</v>
      </c>
      <c r="E150" s="3" t="str">
        <f t="shared" si="28"/>
        <v>Option</v>
      </c>
      <c r="F150" s="18">
        <v>0.38819444444444445</v>
      </c>
      <c r="G150" s="3" t="s">
        <v>199</v>
      </c>
      <c r="H150" s="53">
        <v>1350</v>
      </c>
      <c r="I150" s="12">
        <v>15.05</v>
      </c>
      <c r="J150" s="50">
        <v>19.100000000000001</v>
      </c>
      <c r="L150" s="3">
        <f t="shared" si="23"/>
        <v>20.317499999999999</v>
      </c>
      <c r="M150" s="3">
        <f t="shared" si="24"/>
        <v>25.785000000000004</v>
      </c>
      <c r="N150" s="40">
        <f t="shared" si="25"/>
        <v>5468</v>
      </c>
      <c r="O150" s="24">
        <f t="shared" si="26"/>
        <v>0.26912759936015751</v>
      </c>
      <c r="P150" s="3" t="s">
        <v>46</v>
      </c>
      <c r="Q150" s="31" t="str">
        <f t="shared" si="29"/>
        <v xml:space="preserve"> Profit :  27 % |  Rs. 5,468  |  in 30 min.
15.05--&gt;19.1 
20.3 k --&gt; 25.8k 
Profit: Rs. 5,468 ( 27 % ) in 30 min 
 #ST04032601
Enjoy the Profits</v>
      </c>
      <c r="R150" s="3" t="str">
        <f t="shared" si="30"/>
        <v>15.05--&gt;19.1 
20.3 k --&gt; 25.8k 
Profit: Rs. 5,468 ( 27 % ) in 30 min 
 #ST00010001</v>
      </c>
      <c r="S150" s="3" t="str">
        <f t="shared" si="27"/>
        <v>#ST04032601</v>
      </c>
      <c r="Z150" s="34"/>
    </row>
    <row r="151" spans="1:26" x14ac:dyDescent="0.35">
      <c r="A151" s="35">
        <v>148</v>
      </c>
      <c r="B151" s="15">
        <v>46085</v>
      </c>
      <c r="C151" s="1" t="s">
        <v>20</v>
      </c>
      <c r="E151" s="3" t="str">
        <f t="shared" si="28"/>
        <v>Option</v>
      </c>
      <c r="F151" s="18">
        <v>0.4</v>
      </c>
      <c r="G151" s="3" t="s">
        <v>216</v>
      </c>
      <c r="H151" s="53">
        <v>65</v>
      </c>
      <c r="I151" s="12">
        <v>296</v>
      </c>
      <c r="J151" s="50"/>
      <c r="K151" s="3">
        <v>250</v>
      </c>
      <c r="L151" s="3">
        <f t="shared" si="23"/>
        <v>19.239999999999998</v>
      </c>
      <c r="M151" s="3">
        <f t="shared" si="24"/>
        <v>0</v>
      </c>
      <c r="N151" s="40">
        <f t="shared" si="25"/>
        <v>-19240</v>
      </c>
      <c r="O151" s="24">
        <f t="shared" si="26"/>
        <v>-1.0000000000000002</v>
      </c>
      <c r="Q151" s="31" t="str">
        <f t="shared" si="29"/>
        <v xml:space="preserve"> Profit :  -100 % |  Rs. -19,240  |  in .
296--&gt; 
19.2 k --&gt; 0k 
Profit: Rs. -19,240 ( -100 % ) in  
 #ST04032602
Enjoy the Profits</v>
      </c>
      <c r="R151" s="3" t="str">
        <f t="shared" si="30"/>
        <v>296--&gt; 
19.2 k --&gt; 0k 
Profit: Rs. -19,240 ( -100 % ) in  
 #ST04032602</v>
      </c>
      <c r="S151" s="3" t="str">
        <f t="shared" si="27"/>
        <v>#ST04032602</v>
      </c>
      <c r="Z151" s="34"/>
    </row>
    <row r="152" spans="1:26" x14ac:dyDescent="0.35">
      <c r="A152" s="35">
        <v>149</v>
      </c>
      <c r="B152" s="15">
        <v>46085</v>
      </c>
      <c r="C152" s="1" t="s">
        <v>24</v>
      </c>
      <c r="E152" s="3" t="str">
        <f t="shared" si="28"/>
        <v>Option</v>
      </c>
      <c r="F152" s="18">
        <v>0.40138888888888891</v>
      </c>
      <c r="G152" s="3" t="s">
        <v>215</v>
      </c>
      <c r="H152" s="53">
        <v>150</v>
      </c>
      <c r="I152" s="12">
        <v>132</v>
      </c>
      <c r="J152" s="50">
        <v>120</v>
      </c>
      <c r="L152" s="3">
        <f t="shared" si="23"/>
        <v>19.8</v>
      </c>
      <c r="M152" s="3">
        <f t="shared" si="24"/>
        <v>18</v>
      </c>
      <c r="N152" s="40">
        <f t="shared" si="25"/>
        <v>-1800</v>
      </c>
      <c r="O152" s="24">
        <f t="shared" si="26"/>
        <v>-9.0909090909090912E-2</v>
      </c>
      <c r="Q152" s="31" t="str">
        <f t="shared" si="29"/>
        <v xml:space="preserve"> Profit :  -9 % |  Rs. -1,800  |  in .
132--&gt;120 
19.8 k --&gt; 18k 
Profit: Rs. -1,800 ( -9 % ) in  
 #ST04032603
Enjoy the Profits</v>
      </c>
      <c r="R152" s="3" t="str">
        <f t="shared" si="30"/>
        <v>132--&gt;120 
19.8 k --&gt; 18k 
Profit: Rs. -1,800 ( -9 % ) in  
 #ST04032603</v>
      </c>
      <c r="S152" s="3" t="str">
        <f t="shared" si="27"/>
        <v>#ST04032603</v>
      </c>
      <c r="Z152" s="34"/>
    </row>
    <row r="153" spans="1:26" x14ac:dyDescent="0.35">
      <c r="A153" s="35">
        <v>150</v>
      </c>
      <c r="B153" s="15">
        <v>46085</v>
      </c>
      <c r="C153" s="1" t="s">
        <v>25</v>
      </c>
      <c r="E153" s="3" t="str">
        <f t="shared" si="28"/>
        <v>Option</v>
      </c>
      <c r="F153" s="18">
        <v>0.41041666666666665</v>
      </c>
      <c r="G153" s="3" t="s">
        <v>217</v>
      </c>
      <c r="H153" s="53">
        <v>1900</v>
      </c>
      <c r="I153" s="12">
        <v>10.4</v>
      </c>
      <c r="J153" s="50">
        <v>16.260000000000002</v>
      </c>
      <c r="L153" s="3">
        <f t="shared" si="23"/>
        <v>19.760000000000002</v>
      </c>
      <c r="M153" s="3">
        <f t="shared" si="24"/>
        <v>30.894000000000002</v>
      </c>
      <c r="N153" s="40">
        <f t="shared" si="25"/>
        <v>11134</v>
      </c>
      <c r="O153" s="24">
        <f t="shared" si="26"/>
        <v>0.56346153846153846</v>
      </c>
      <c r="P153" s="3" t="s">
        <v>58</v>
      </c>
      <c r="Q153" s="31" t="str">
        <f t="shared" si="29"/>
        <v xml:space="preserve"> Profit :  56 % |  Rs. 11,134  |  in 20 min.
10.4--&gt;16.26 
19.8 k --&gt; 30.9k 
Profit: Rs. 11,134 ( 56 % ) in 20 min 
 #ST04032604
Enjoy the Profits</v>
      </c>
      <c r="R153" s="3" t="str">
        <f t="shared" si="30"/>
        <v>10.4--&gt;16.26 
19.8 k --&gt; 30.9k 
Profit: Rs. 11,134 ( 56 % ) in 20 min 
 #ST04032604</v>
      </c>
      <c r="S153" s="3" t="str">
        <f t="shared" si="27"/>
        <v>#ST04032604</v>
      </c>
      <c r="Z153" s="34"/>
    </row>
    <row r="154" spans="1:26" x14ac:dyDescent="0.35">
      <c r="A154" s="35">
        <v>151</v>
      </c>
      <c r="B154" s="15">
        <v>46086</v>
      </c>
      <c r="C154" s="1" t="s">
        <v>23</v>
      </c>
      <c r="E154" s="3" t="str">
        <f t="shared" si="28"/>
        <v>Option</v>
      </c>
      <c r="F154" s="18">
        <v>0.38750000000000001</v>
      </c>
      <c r="G154" s="3" t="s">
        <v>219</v>
      </c>
      <c r="H154" s="53">
        <v>3750</v>
      </c>
      <c r="I154" s="12">
        <v>4.5999999999999996</v>
      </c>
      <c r="J154" s="50">
        <v>6.15</v>
      </c>
      <c r="K154" s="3">
        <v>4.2</v>
      </c>
      <c r="L154" s="3">
        <f t="shared" si="23"/>
        <v>17.25</v>
      </c>
      <c r="M154" s="3">
        <f t="shared" si="24"/>
        <v>23.0625</v>
      </c>
      <c r="N154" s="40">
        <f t="shared" si="25"/>
        <v>5813</v>
      </c>
      <c r="O154" s="24">
        <f t="shared" si="26"/>
        <v>0.33698550724637683</v>
      </c>
      <c r="P154" s="3" t="s">
        <v>39</v>
      </c>
      <c r="Q154" s="31" t="str">
        <f t="shared" si="29"/>
        <v xml:space="preserve"> Profit :  34 % |  Rs. 5,813  |  in 10 min.
4.6--&gt;6.15 
17.3 k --&gt; 23.1k 
Profit: Rs. 5,813 ( 34 % ) in 10 min 
 #ST05032601
Enjoy the Profits</v>
      </c>
      <c r="R154" s="3" t="str">
        <f t="shared" si="30"/>
        <v>4.6--&gt;6.15 
17.3 k --&gt; 23.1k 
Profit: Rs. 5,813 ( 34 % ) in 10 min 
 #ST04032601</v>
      </c>
      <c r="S154" s="3" t="str">
        <f t="shared" si="27"/>
        <v>#ST05032601</v>
      </c>
      <c r="Z154" s="34"/>
    </row>
    <row r="155" spans="1:26" x14ac:dyDescent="0.35">
      <c r="A155" s="35">
        <v>152</v>
      </c>
      <c r="B155" s="15">
        <v>46086</v>
      </c>
      <c r="C155" s="1" t="s">
        <v>20</v>
      </c>
      <c r="E155" s="3" t="str">
        <f t="shared" si="28"/>
        <v>Option</v>
      </c>
      <c r="F155" s="18">
        <v>0.39652777777777776</v>
      </c>
      <c r="G155" s="3" t="s">
        <v>210</v>
      </c>
      <c r="H155" s="53">
        <v>400</v>
      </c>
      <c r="I155" s="12">
        <v>42.5</v>
      </c>
      <c r="J155" s="50">
        <v>44.6</v>
      </c>
      <c r="L155" s="3">
        <f t="shared" si="23"/>
        <v>17</v>
      </c>
      <c r="M155" s="3">
        <f t="shared" si="24"/>
        <v>17.84</v>
      </c>
      <c r="N155" s="40">
        <f t="shared" si="25"/>
        <v>840</v>
      </c>
      <c r="O155" s="24">
        <f t="shared" si="26"/>
        <v>4.9411764705882356E-2</v>
      </c>
      <c r="Q155" s="31" t="str">
        <f t="shared" si="29"/>
        <v xml:space="preserve"> Profit :  5 % |  Rs. 840  |  in .
42.5--&gt;44.6 
17 k --&gt; 17.8k 
Profit: Rs. 840 ( 5 % ) in  
 #ST05032602
Enjoy the Profits</v>
      </c>
      <c r="R155" s="3" t="str">
        <f t="shared" si="30"/>
        <v>42.5--&gt;44.6 
17 k --&gt; 17.8k 
Profit: Rs. 840 ( 5 % ) in  
 #ST05032602</v>
      </c>
      <c r="S155" s="3" t="str">
        <f t="shared" si="27"/>
        <v>#ST05032602</v>
      </c>
      <c r="Z155" s="34"/>
    </row>
    <row r="156" spans="1:26" x14ac:dyDescent="0.35">
      <c r="A156" s="35">
        <v>153</v>
      </c>
      <c r="B156" s="15">
        <v>46086</v>
      </c>
      <c r="C156" s="1" t="s">
        <v>218</v>
      </c>
      <c r="E156" s="3" t="str">
        <f t="shared" si="28"/>
        <v/>
      </c>
      <c r="F156" s="18">
        <v>0.39652777777777776</v>
      </c>
      <c r="H156" s="53"/>
      <c r="J156" s="50"/>
      <c r="L156" s="3" t="str">
        <f t="shared" si="23"/>
        <v/>
      </c>
      <c r="M156" s="3" t="str">
        <f t="shared" si="24"/>
        <v/>
      </c>
      <c r="N156" s="40">
        <f t="shared" si="25"/>
        <v>0</v>
      </c>
      <c r="O156" s="24" t="str">
        <f t="shared" si="26"/>
        <v/>
      </c>
      <c r="Q156" s="31" t="str">
        <f t="shared" si="29"/>
        <v/>
      </c>
      <c r="R156" s="3" t="str">
        <f t="shared" si="30"/>
        <v/>
      </c>
      <c r="S156" s="3" t="str">
        <f t="shared" si="27"/>
        <v/>
      </c>
      <c r="Z156" s="34"/>
    </row>
    <row r="157" spans="1:26" x14ac:dyDescent="0.35">
      <c r="A157" s="35">
        <v>154</v>
      </c>
      <c r="E157" s="3" t="str">
        <f t="shared" si="28"/>
        <v/>
      </c>
      <c r="H157" s="53"/>
      <c r="J157" s="50"/>
      <c r="L157" s="3" t="str">
        <f t="shared" si="23"/>
        <v/>
      </c>
      <c r="M157" s="3" t="str">
        <f t="shared" si="24"/>
        <v/>
      </c>
      <c r="N157" s="40">
        <f t="shared" si="25"/>
        <v>0</v>
      </c>
      <c r="O157" s="24" t="str">
        <f t="shared" si="26"/>
        <v/>
      </c>
      <c r="Q157" s="31" t="str">
        <f t="shared" si="29"/>
        <v/>
      </c>
      <c r="R157" s="3" t="str">
        <f t="shared" si="30"/>
        <v/>
      </c>
      <c r="S157" s="3" t="str">
        <f t="shared" si="27"/>
        <v/>
      </c>
      <c r="Z157" s="34"/>
    </row>
    <row r="158" spans="1:26" x14ac:dyDescent="0.35">
      <c r="A158" s="35">
        <v>155</v>
      </c>
      <c r="B158" s="15">
        <v>46087</v>
      </c>
      <c r="C158" s="1" t="s">
        <v>23</v>
      </c>
      <c r="E158" s="3" t="str">
        <f t="shared" si="28"/>
        <v>Option</v>
      </c>
      <c r="F158" s="18">
        <v>0.40486111111111112</v>
      </c>
      <c r="G158" s="3" t="s">
        <v>221</v>
      </c>
      <c r="H158" s="53">
        <v>225</v>
      </c>
      <c r="I158" s="12">
        <v>71.5</v>
      </c>
      <c r="J158" s="50">
        <v>66</v>
      </c>
      <c r="K158" s="3">
        <v>63</v>
      </c>
      <c r="L158" s="3">
        <f t="shared" si="23"/>
        <v>16.087499999999999</v>
      </c>
      <c r="M158" s="3">
        <f t="shared" si="24"/>
        <v>14.85</v>
      </c>
      <c r="N158" s="40">
        <f t="shared" si="25"/>
        <v>-1238</v>
      </c>
      <c r="O158" s="24">
        <f t="shared" si="26"/>
        <v>-7.6954156954156958E-2</v>
      </c>
      <c r="Q158" s="31" t="str">
        <f t="shared" si="29"/>
        <v xml:space="preserve"> Profit :  -8 % |  Rs. -1,238  |  in .
71.5--&gt;66 
16.1 k --&gt; 14.9k 
Profit: Rs. -1,238 ( -8 % ) in  
 #ST06032601
Enjoy the Profits</v>
      </c>
      <c r="R158" s="3" t="str">
        <f t="shared" si="30"/>
        <v>71.5--&gt;66 
16.1 k --&gt; 14.9k 
Profit: Rs. -1,238 ( -8 % ) in  
 #ST00010001</v>
      </c>
      <c r="S158" s="3" t="str">
        <f t="shared" si="27"/>
        <v>#ST06032601</v>
      </c>
      <c r="Z158" s="34"/>
    </row>
    <row r="159" spans="1:26" x14ac:dyDescent="0.35">
      <c r="A159" s="35">
        <v>156</v>
      </c>
      <c r="B159" s="15">
        <v>46087</v>
      </c>
      <c r="C159" s="1" t="s">
        <v>20</v>
      </c>
      <c r="E159" s="3" t="str">
        <f t="shared" si="28"/>
        <v>Option</v>
      </c>
      <c r="F159" s="18">
        <v>0.42777777777777776</v>
      </c>
      <c r="G159" s="3" t="s">
        <v>220</v>
      </c>
      <c r="H159" s="53">
        <v>6750</v>
      </c>
      <c r="I159" s="12">
        <v>2.78</v>
      </c>
      <c r="J159" s="50">
        <v>3.15</v>
      </c>
      <c r="L159" s="3">
        <f t="shared" si="23"/>
        <v>18.765000000000001</v>
      </c>
      <c r="M159" s="3">
        <f t="shared" si="24"/>
        <v>21.262499999999999</v>
      </c>
      <c r="N159" s="40">
        <f t="shared" si="25"/>
        <v>2498</v>
      </c>
      <c r="O159" s="24">
        <f t="shared" si="26"/>
        <v>0.13312017053024247</v>
      </c>
      <c r="P159" s="3" t="s">
        <v>88</v>
      </c>
      <c r="Q159" s="31" t="str">
        <f t="shared" si="29"/>
        <v xml:space="preserve"> Profit :  13 % |  Rs. 2,498  |  in 8 min.
2.78--&gt;3.15 
18.8 k --&gt; 21.3k 
Profit: Rs. 2,498 ( 13 % ) in 8 min 
 #ST06032602
Enjoy the Profits</v>
      </c>
      <c r="R159" s="3" t="str">
        <f t="shared" si="30"/>
        <v>2.78--&gt;3.15 
18.8 k --&gt; 21.3k 
Profit: Rs. 2,498 ( 13 % ) in 8 min 
 #ST06032602</v>
      </c>
      <c r="S159" s="3" t="str">
        <f t="shared" si="27"/>
        <v>#ST06032602</v>
      </c>
      <c r="Z159" s="34"/>
    </row>
    <row r="160" spans="1:26" x14ac:dyDescent="0.35">
      <c r="A160" s="35">
        <v>157</v>
      </c>
      <c r="B160" s="15">
        <v>46087</v>
      </c>
      <c r="C160" s="1" t="s">
        <v>24</v>
      </c>
      <c r="E160" s="3" t="str">
        <f t="shared" si="28"/>
        <v>Option</v>
      </c>
      <c r="F160" s="18">
        <v>0.13958333333333334</v>
      </c>
      <c r="G160" s="3" t="s">
        <v>222</v>
      </c>
      <c r="H160" s="53">
        <v>1900</v>
      </c>
      <c r="I160" s="12">
        <v>10.35</v>
      </c>
      <c r="J160" s="50">
        <v>16.05</v>
      </c>
      <c r="L160" s="3">
        <f t="shared" si="23"/>
        <v>19.664999999999999</v>
      </c>
      <c r="M160" s="3">
        <f t="shared" si="24"/>
        <v>30.495000000000001</v>
      </c>
      <c r="N160" s="40">
        <f t="shared" si="25"/>
        <v>10830</v>
      </c>
      <c r="O160" s="24">
        <f t="shared" si="26"/>
        <v>0.55072463768115953</v>
      </c>
      <c r="P160" s="3" t="s">
        <v>21</v>
      </c>
      <c r="Q160" s="31" t="str">
        <f t="shared" si="29"/>
        <v xml:space="preserve"> Profit :  55 % |  Rs. 10,830  |  in Overnight.
10.35--&gt;16.05 
19.7 k --&gt; 30.5k 
Profit: Rs. 10,830 ( 55 % ) in Overnight 
 #ST06032603
Enjoy the Profits</v>
      </c>
      <c r="R160" s="3" t="str">
        <f t="shared" si="30"/>
        <v>10.35--&gt;16.05 
19.7 k --&gt; 30.5k 
Profit: Rs. 10,830 ( 55 % ) in Overnight 
 #ST06032603</v>
      </c>
      <c r="S160" s="3" t="str">
        <f t="shared" si="27"/>
        <v>#ST06032603</v>
      </c>
      <c r="Z160" s="34"/>
    </row>
    <row r="161" spans="1:26" x14ac:dyDescent="0.35">
      <c r="A161" s="35">
        <v>158</v>
      </c>
      <c r="B161" s="15">
        <v>46087</v>
      </c>
      <c r="C161" s="1" t="s">
        <v>25</v>
      </c>
      <c r="E161" s="3" t="str">
        <f t="shared" si="28"/>
        <v>Option</v>
      </c>
      <c r="F161" s="18">
        <v>0.14097222222222222</v>
      </c>
      <c r="G161" s="3" t="s">
        <v>223</v>
      </c>
      <c r="H161" s="53">
        <v>50</v>
      </c>
      <c r="I161" s="12">
        <v>305</v>
      </c>
      <c r="J161" s="50">
        <v>633</v>
      </c>
      <c r="L161" s="3">
        <f t="shared" si="23"/>
        <v>15.25</v>
      </c>
      <c r="M161" s="3">
        <f t="shared" si="24"/>
        <v>31.65</v>
      </c>
      <c r="N161" s="40">
        <f t="shared" si="25"/>
        <v>16400</v>
      </c>
      <c r="O161" s="24">
        <f t="shared" si="26"/>
        <v>1.0754098360655737</v>
      </c>
      <c r="P161" s="3" t="s">
        <v>21</v>
      </c>
      <c r="Q161" s="31" t="str">
        <f t="shared" si="29"/>
        <v xml:space="preserve"> Profit :  108 % |  Rs. 16,400  |  in Overnight.
305--&gt;633 
15.3 k --&gt; 31.7k 
Profit: Rs. 16,400 ( 108 % ) in Overnight 
 #ST06032604
Enjoy the Profits</v>
      </c>
      <c r="R161" s="3" t="str">
        <f t="shared" si="30"/>
        <v>108 % 
One more call with over 108 % returns  in  Overnight 
305--&gt;633 
15.3 k --&gt; 31.7k 
Profit: Rs. 16,400 ( 108 % )  in Overnight 
 #ST06032604</v>
      </c>
      <c r="S161" s="3" t="str">
        <f t="shared" si="27"/>
        <v>#ST06032604</v>
      </c>
      <c r="Z161" s="34"/>
    </row>
    <row r="162" spans="1:26" x14ac:dyDescent="0.35">
      <c r="A162" s="35">
        <v>159</v>
      </c>
      <c r="B162" s="15">
        <v>46090</v>
      </c>
      <c r="C162" s="1" t="s">
        <v>23</v>
      </c>
      <c r="E162" s="3" t="str">
        <f t="shared" si="28"/>
        <v>Option</v>
      </c>
      <c r="F162" s="18">
        <v>0.39097222222222222</v>
      </c>
      <c r="G162" s="3" t="s">
        <v>224</v>
      </c>
      <c r="H162" s="53">
        <v>65</v>
      </c>
      <c r="I162" s="12">
        <v>203</v>
      </c>
      <c r="J162" s="50">
        <v>222</v>
      </c>
      <c r="L162" s="3">
        <f t="shared" si="23"/>
        <v>13.195</v>
      </c>
      <c r="M162" s="3">
        <f t="shared" si="24"/>
        <v>14.43</v>
      </c>
      <c r="N162" s="40">
        <f t="shared" si="25"/>
        <v>1235</v>
      </c>
      <c r="O162" s="24">
        <f t="shared" si="26"/>
        <v>9.3596059113300489E-2</v>
      </c>
      <c r="P162" s="3" t="s">
        <v>197</v>
      </c>
      <c r="Q162" s="31" t="str">
        <f t="shared" si="29"/>
        <v xml:space="preserve"> Profit :  9 % |  Rs. 1,235  |  in 3 min.
203--&gt;222 
13.2 k --&gt; 14.4k 
Profit: Rs. 1,235 ( 9 % ) in 3 min 
 #ST09032601
Enjoy the Profits</v>
      </c>
      <c r="R162" s="3" t="str">
        <f t="shared" si="30"/>
        <v>203--&gt;222 
13.2 k --&gt; 14.4k 
Profit: Rs. 1,235 ( 9 % ) in 3 min 
 #ST06032601</v>
      </c>
      <c r="S162" s="3" t="str">
        <f t="shared" si="27"/>
        <v>#ST09032601</v>
      </c>
      <c r="Z162" s="34"/>
    </row>
    <row r="163" spans="1:26" x14ac:dyDescent="0.35">
      <c r="A163" s="35">
        <v>160</v>
      </c>
      <c r="B163" s="15">
        <v>46090</v>
      </c>
      <c r="C163" s="1" t="s">
        <v>20</v>
      </c>
      <c r="E163" s="3" t="str">
        <f t="shared" si="28"/>
        <v>Option</v>
      </c>
      <c r="F163" s="18">
        <v>0.39791666666666664</v>
      </c>
      <c r="G163" s="3" t="s">
        <v>226</v>
      </c>
      <c r="H163" s="53">
        <v>150</v>
      </c>
      <c r="I163" s="12">
        <v>122.8</v>
      </c>
      <c r="J163" s="50">
        <v>140</v>
      </c>
      <c r="L163" s="3">
        <f t="shared" si="23"/>
        <v>18.420000000000002</v>
      </c>
      <c r="M163" s="3">
        <f t="shared" si="24"/>
        <v>21</v>
      </c>
      <c r="N163" s="40">
        <f t="shared" si="25"/>
        <v>2580</v>
      </c>
      <c r="O163" s="24">
        <f t="shared" si="26"/>
        <v>0.14006514657980454</v>
      </c>
      <c r="P163" s="3" t="s">
        <v>44</v>
      </c>
      <c r="Q163" s="31" t="str">
        <f t="shared" si="29"/>
        <v xml:space="preserve"> Profit :  14 % |  Rs. 2,580  |  in 2.5 hours.
122.8--&gt;140 
18.4 k --&gt; 21k 
Profit: Rs. 2,580 ( 14 % ) in 2.5 hours 
 #ST09032602
Enjoy the Profits</v>
      </c>
      <c r="R163" s="3" t="str">
        <f t="shared" si="30"/>
        <v>122.8--&gt;140 
18.4 k --&gt; 21k 
Profit: Rs. 2,580 ( 14 % ) in 2.5 hours 
 #ST09032602</v>
      </c>
      <c r="S163" s="3" t="str">
        <f t="shared" si="27"/>
        <v>#ST09032602</v>
      </c>
    </row>
    <row r="164" spans="1:26" x14ac:dyDescent="0.35">
      <c r="A164" s="35">
        <v>161</v>
      </c>
      <c r="B164" s="15">
        <v>46090</v>
      </c>
      <c r="C164" s="1" t="s">
        <v>24</v>
      </c>
      <c r="E164" s="3" t="str">
        <f t="shared" si="28"/>
        <v>Option</v>
      </c>
      <c r="F164" s="18">
        <v>0.40347222222222223</v>
      </c>
      <c r="G164" s="3" t="s">
        <v>225</v>
      </c>
      <c r="H164" s="53">
        <v>625</v>
      </c>
      <c r="I164" s="12">
        <v>32</v>
      </c>
      <c r="J164" s="50">
        <v>43.45</v>
      </c>
      <c r="L164" s="3">
        <f t="shared" si="23"/>
        <v>20</v>
      </c>
      <c r="M164" s="3">
        <f t="shared" ref="M164:M195" si="31">IF(H164&lt;&gt;0,H164*J164/1000,"")</f>
        <v>27.15625</v>
      </c>
      <c r="N164" s="40">
        <f t="shared" ref="N164:N195" si="32">_xlfn.NUMBERVALUE(IF(H164&lt;&gt;0,TEXT(1000*(M164-L164),"#,##,###"),""))</f>
        <v>7156</v>
      </c>
      <c r="O164" s="24">
        <f t="shared" ref="O164:O195" si="33">IF(H164&lt;&gt;0, (N164/L164)/1000,"")</f>
        <v>0.35780000000000001</v>
      </c>
      <c r="P164" s="3" t="s">
        <v>58</v>
      </c>
      <c r="Q164" s="31" t="str">
        <f t="shared" si="29"/>
        <v xml:space="preserve"> Profit :  36 % |  Rs. 7,156  |  in 20 min.
32--&gt;43.45 
20 k --&gt; 27.2k 
Profit: Rs. 7,156 ( 36 % ) in 20 min 
 #ST09032603
Enjoy the Profits</v>
      </c>
      <c r="R164" s="3" t="str">
        <f t="shared" si="30"/>
        <v>32--&gt;43.45 
20 k --&gt; 27.2k 
Profit: Rs. 7,156 ( 36 % ) in 20 min 
 #ST09032603</v>
      </c>
      <c r="S164" s="3" t="str">
        <f t="shared" si="27"/>
        <v>#ST09032603</v>
      </c>
    </row>
    <row r="165" spans="1:26" x14ac:dyDescent="0.35">
      <c r="A165" s="35">
        <v>162</v>
      </c>
      <c r="B165" s="15">
        <v>46090</v>
      </c>
      <c r="C165" s="1" t="s">
        <v>25</v>
      </c>
      <c r="E165" s="3" t="str">
        <f t="shared" si="28"/>
        <v>Option</v>
      </c>
      <c r="F165" s="18">
        <v>0.40625</v>
      </c>
      <c r="G165" s="3" t="s">
        <v>227</v>
      </c>
      <c r="H165" s="53">
        <v>64</v>
      </c>
      <c r="J165" s="50"/>
      <c r="L165" s="3">
        <f t="shared" si="23"/>
        <v>0</v>
      </c>
      <c r="M165" s="3">
        <f t="shared" si="31"/>
        <v>0</v>
      </c>
      <c r="N165" s="40">
        <f t="shared" si="32"/>
        <v>0</v>
      </c>
      <c r="O165" s="24" t="e">
        <f t="shared" si="33"/>
        <v>#DIV/0!</v>
      </c>
      <c r="Q165" s="31" t="e">
        <f t="shared" si="29"/>
        <v>#DIV/0!</v>
      </c>
      <c r="R165" s="3" t="e">
        <f t="shared" si="30"/>
        <v>#DIV/0!</v>
      </c>
      <c r="S165" s="3" t="str">
        <f t="shared" si="27"/>
        <v>#ST09032604</v>
      </c>
    </row>
    <row r="166" spans="1:26" x14ac:dyDescent="0.35">
      <c r="A166" s="35">
        <v>163</v>
      </c>
      <c r="E166" s="3" t="str">
        <f t="shared" si="28"/>
        <v/>
      </c>
      <c r="H166" s="53"/>
      <c r="J166" s="50"/>
      <c r="L166" s="3" t="str">
        <f t="shared" si="23"/>
        <v/>
      </c>
      <c r="M166" s="3" t="str">
        <f t="shared" si="31"/>
        <v/>
      </c>
      <c r="N166" s="40">
        <f t="shared" si="32"/>
        <v>0</v>
      </c>
      <c r="O166" s="24" t="str">
        <f t="shared" si="33"/>
        <v/>
      </c>
      <c r="Q166" s="31" t="str">
        <f t="shared" si="29"/>
        <v/>
      </c>
      <c r="R166" s="3" t="str">
        <f t="shared" si="30"/>
        <v/>
      </c>
      <c r="S166" s="3" t="str">
        <f t="shared" si="27"/>
        <v/>
      </c>
    </row>
    <row r="167" spans="1:26" x14ac:dyDescent="0.35">
      <c r="A167" s="35">
        <v>164</v>
      </c>
      <c r="E167" s="3" t="str">
        <f t="shared" si="28"/>
        <v/>
      </c>
      <c r="H167" s="53"/>
      <c r="J167" s="50"/>
      <c r="L167" s="3" t="str">
        <f t="shared" si="23"/>
        <v/>
      </c>
      <c r="M167" s="3" t="str">
        <f t="shared" si="31"/>
        <v/>
      </c>
      <c r="N167" s="40">
        <f t="shared" si="32"/>
        <v>0</v>
      </c>
      <c r="O167" s="24" t="str">
        <f t="shared" si="33"/>
        <v/>
      </c>
      <c r="Q167" s="31" t="str">
        <f t="shared" si="29"/>
        <v/>
      </c>
      <c r="R167" s="3" t="str">
        <f t="shared" si="30"/>
        <v/>
      </c>
      <c r="S167" s="3" t="str">
        <f t="shared" si="27"/>
        <v/>
      </c>
    </row>
    <row r="168" spans="1:26" x14ac:dyDescent="0.35">
      <c r="A168" s="35">
        <v>165</v>
      </c>
      <c r="E168" s="3" t="str">
        <f t="shared" si="28"/>
        <v/>
      </c>
      <c r="H168" s="53"/>
      <c r="J168" s="50"/>
      <c r="L168" s="3" t="str">
        <f t="shared" si="23"/>
        <v/>
      </c>
      <c r="M168" s="3" t="str">
        <f t="shared" si="31"/>
        <v/>
      </c>
      <c r="N168" s="40">
        <f t="shared" si="32"/>
        <v>0</v>
      </c>
      <c r="O168" s="24" t="str">
        <f t="shared" si="33"/>
        <v/>
      </c>
      <c r="Q168" s="31" t="str">
        <f t="shared" si="29"/>
        <v/>
      </c>
      <c r="R168" s="3" t="str">
        <f t="shared" si="30"/>
        <v/>
      </c>
      <c r="S168" s="3" t="str">
        <f t="shared" si="27"/>
        <v/>
      </c>
    </row>
    <row r="169" spans="1:26" x14ac:dyDescent="0.35">
      <c r="A169" s="35">
        <v>166</v>
      </c>
      <c r="E169" s="3" t="str">
        <f t="shared" si="28"/>
        <v/>
      </c>
      <c r="H169" s="53"/>
      <c r="J169" s="50"/>
      <c r="L169" s="3" t="str">
        <f t="shared" si="23"/>
        <v/>
      </c>
      <c r="M169" s="3" t="str">
        <f t="shared" si="31"/>
        <v/>
      </c>
      <c r="N169" s="40">
        <f t="shared" si="32"/>
        <v>0</v>
      </c>
      <c r="O169" s="24" t="str">
        <f t="shared" si="33"/>
        <v/>
      </c>
      <c r="Q169" s="31" t="str">
        <f t="shared" si="29"/>
        <v/>
      </c>
      <c r="R169" s="3" t="str">
        <f t="shared" si="30"/>
        <v/>
      </c>
      <c r="S169" s="3" t="str">
        <f t="shared" si="27"/>
        <v/>
      </c>
    </row>
    <row r="170" spans="1:26" x14ac:dyDescent="0.35">
      <c r="A170" s="35">
        <v>167</v>
      </c>
      <c r="B170" s="15">
        <v>46091</v>
      </c>
      <c r="C170" s="1" t="s">
        <v>23</v>
      </c>
      <c r="E170" s="3" t="str">
        <f t="shared" si="28"/>
        <v>Option</v>
      </c>
      <c r="F170" s="18">
        <v>0.39513888888888887</v>
      </c>
      <c r="G170" s="3" t="s">
        <v>228</v>
      </c>
      <c r="H170" s="53">
        <v>65</v>
      </c>
      <c r="I170" s="12">
        <v>186</v>
      </c>
      <c r="J170" s="50">
        <v>316</v>
      </c>
      <c r="L170" s="3">
        <f t="shared" si="23"/>
        <v>12.09</v>
      </c>
      <c r="M170" s="3">
        <f t="shared" si="31"/>
        <v>20.54</v>
      </c>
      <c r="N170" s="40">
        <f t="shared" si="32"/>
        <v>8450</v>
      </c>
      <c r="O170" s="24">
        <f t="shared" si="33"/>
        <v>0.69892473118279563</v>
      </c>
      <c r="P170" s="3" t="s">
        <v>42</v>
      </c>
      <c r="Q170" s="31" t="str">
        <f t="shared" si="29"/>
        <v xml:space="preserve"> Profit :  70 % |  Rs. 8,450  |  in 3 hours.
186--&gt;316 
12.1 k --&gt; 20.5k 
Profit: Rs. 8,450 ( 70 % ) in 3 hours 
 #ST10032601
Enjoy the Profits</v>
      </c>
      <c r="R170" s="3" t="str">
        <f t="shared" si="30"/>
        <v>186--&gt;316 
12.1 k --&gt; 20.5k 
Profit: Rs. 8,450 ( 70 % ) in 3 hours 
 #ST00010001</v>
      </c>
      <c r="S170" s="3" t="str">
        <f t="shared" si="27"/>
        <v>#ST10032601</v>
      </c>
    </row>
    <row r="171" spans="1:26" x14ac:dyDescent="0.35">
      <c r="A171" s="35">
        <v>168</v>
      </c>
      <c r="B171" s="15">
        <v>46091</v>
      </c>
      <c r="C171" s="1" t="s">
        <v>20</v>
      </c>
      <c r="E171" s="3" t="str">
        <f t="shared" si="28"/>
        <v>Option</v>
      </c>
      <c r="G171" s="3" t="s">
        <v>229</v>
      </c>
      <c r="H171" s="53">
        <v>375</v>
      </c>
      <c r="I171" s="12">
        <v>43.5</v>
      </c>
      <c r="J171" s="50">
        <v>48.4</v>
      </c>
      <c r="L171" s="3">
        <f t="shared" si="23"/>
        <v>16.3125</v>
      </c>
      <c r="M171" s="3">
        <f t="shared" si="31"/>
        <v>18.149999999999999</v>
      </c>
      <c r="N171" s="40">
        <f t="shared" si="32"/>
        <v>1838</v>
      </c>
      <c r="O171" s="24">
        <f t="shared" si="33"/>
        <v>0.11267432950191571</v>
      </c>
      <c r="Q171" s="31" t="str">
        <f t="shared" si="29"/>
        <v xml:space="preserve"> Profit :  11 % |  Rs. 1,838  |  in .
43.5--&gt;48.4 
16.3 k --&gt; 18.2k 
Profit: Rs. 1,838 ( 11 % ) in  
 #ST10032602
Enjoy the Profits</v>
      </c>
      <c r="R171" s="3" t="str">
        <f t="shared" si="30"/>
        <v>43.5--&gt;48.4 
16.3 k --&gt; 18.2k 
Profit: Rs. 1,838 ( 11 % ) in  
 #ST10032602</v>
      </c>
      <c r="S171" s="3" t="str">
        <f t="shared" si="27"/>
        <v>#ST10032602</v>
      </c>
    </row>
    <row r="172" spans="1:26" x14ac:dyDescent="0.35">
      <c r="A172" s="35">
        <v>169</v>
      </c>
      <c r="B172" s="15">
        <v>46091</v>
      </c>
      <c r="C172" s="1" t="s">
        <v>24</v>
      </c>
      <c r="E172" s="3" t="str">
        <f t="shared" si="28"/>
        <v>Option</v>
      </c>
      <c r="F172" s="3">
        <v>10</v>
      </c>
      <c r="G172" s="3" t="s">
        <v>228</v>
      </c>
      <c r="H172" s="53">
        <v>65</v>
      </c>
      <c r="I172" s="12">
        <v>160</v>
      </c>
      <c r="J172" s="50">
        <v>350</v>
      </c>
      <c r="L172" s="3">
        <f t="shared" si="23"/>
        <v>10.4</v>
      </c>
      <c r="M172" s="3">
        <f t="shared" si="31"/>
        <v>22.75</v>
      </c>
      <c r="N172" s="40">
        <f t="shared" si="32"/>
        <v>12350</v>
      </c>
      <c r="O172" s="24">
        <f t="shared" si="33"/>
        <v>1.1875</v>
      </c>
      <c r="P172" s="3" t="s">
        <v>33</v>
      </c>
      <c r="Q172" s="31" t="str">
        <f t="shared" si="29"/>
        <v xml:space="preserve"> Profit :  119 % |  Rs. 12,350  |  in 2 hours.
160--&gt;350 
10.4 k --&gt; 22.8k 
Profit: Rs. 12,350 ( 119 % ) in 2 hours 
 #ST10032603
Enjoy the Profits</v>
      </c>
      <c r="R172" s="3" t="str">
        <f t="shared" si="30"/>
        <v>119 % 
One more call with over 119 % returns  in  2 hours 
160--&gt;350 
10.4 k --&gt; 22.8k 
Profit: Rs. 12,350 ( 119 % )  in 2 hours 
 #ST10032603</v>
      </c>
      <c r="S172" s="3" t="str">
        <f t="shared" si="27"/>
        <v>#ST10032603</v>
      </c>
    </row>
    <row r="173" spans="1:26" x14ac:dyDescent="0.35">
      <c r="A173" s="35">
        <v>170</v>
      </c>
      <c r="B173" s="15">
        <v>46091</v>
      </c>
      <c r="C173" s="1" t="s">
        <v>25</v>
      </c>
      <c r="E173" s="3" t="str">
        <f t="shared" si="28"/>
        <v>Option</v>
      </c>
      <c r="G173" s="3" t="s">
        <v>233</v>
      </c>
      <c r="H173" s="53">
        <v>100</v>
      </c>
      <c r="I173" s="12">
        <v>187</v>
      </c>
      <c r="J173" s="50"/>
      <c r="L173" s="3">
        <f t="shared" si="23"/>
        <v>18.7</v>
      </c>
      <c r="M173" s="3">
        <f t="shared" si="31"/>
        <v>0</v>
      </c>
      <c r="N173" s="40">
        <f t="shared" si="32"/>
        <v>-18700</v>
      </c>
      <c r="O173" s="24">
        <f t="shared" si="33"/>
        <v>-1</v>
      </c>
      <c r="Q173" s="31" t="str">
        <f t="shared" si="29"/>
        <v xml:space="preserve"> Profit :  -100 % |  Rs. -18,700  |  in .
187--&gt; 
18.7 k --&gt; 0k 
Profit: Rs. -18,700 ( -100 % ) in  
 #ST10032604
Enjoy the Profits</v>
      </c>
      <c r="R173" s="3" t="str">
        <f t="shared" si="30"/>
        <v>187--&gt; 
18.7 k --&gt; 0k 
Profit: Rs. -18,700 ( -100 % ) in  
 #ST10032604</v>
      </c>
      <c r="S173" s="3" t="str">
        <f t="shared" si="27"/>
        <v>#ST10032604</v>
      </c>
    </row>
    <row r="174" spans="1:26" x14ac:dyDescent="0.35">
      <c r="A174" s="35">
        <v>171</v>
      </c>
      <c r="B174" s="15">
        <v>46092</v>
      </c>
      <c r="C174" s="1" t="s">
        <v>23</v>
      </c>
      <c r="E174" s="3" t="str">
        <f t="shared" si="28"/>
        <v>Option</v>
      </c>
      <c r="F174" s="18">
        <v>0.39305555555555555</v>
      </c>
      <c r="G174" s="3" t="s">
        <v>232</v>
      </c>
      <c r="H174" s="53">
        <v>200</v>
      </c>
      <c r="I174" s="12">
        <v>85</v>
      </c>
      <c r="J174" s="50">
        <v>99.4</v>
      </c>
      <c r="L174" s="3">
        <f t="shared" si="23"/>
        <v>17</v>
      </c>
      <c r="M174" s="3">
        <f t="shared" si="31"/>
        <v>19.88</v>
      </c>
      <c r="N174" s="40">
        <f t="shared" si="32"/>
        <v>2880</v>
      </c>
      <c r="O174" s="24">
        <f t="shared" si="33"/>
        <v>0.16941176470588235</v>
      </c>
      <c r="P174" s="3" t="s">
        <v>46</v>
      </c>
      <c r="Q174" s="31" t="str">
        <f t="shared" si="29"/>
        <v xml:space="preserve"> Profit :  17 % |  Rs. 2,880  |  in 30 min.
85--&gt;99.4 
17 k --&gt; 19.9k 
Profit: Rs. 2,880 ( 17 % ) in 30 min 
 #ST11032601
Enjoy the Profits</v>
      </c>
      <c r="R174" s="3" t="str">
        <f t="shared" si="30"/>
        <v>85--&gt;99.4 
17 k --&gt; 19.9k 
Profit: Rs. 2,880 ( 17 % ) in 30 min 
 #ST10032601</v>
      </c>
      <c r="S174" s="3" t="str">
        <f t="shared" si="27"/>
        <v>#ST11032601</v>
      </c>
    </row>
    <row r="175" spans="1:26" x14ac:dyDescent="0.35">
      <c r="A175" s="35">
        <v>172</v>
      </c>
      <c r="B175" s="15">
        <v>46092</v>
      </c>
      <c r="C175" s="1" t="s">
        <v>20</v>
      </c>
      <c r="E175" s="3" t="str">
        <f t="shared" si="28"/>
        <v>Option</v>
      </c>
      <c r="F175" s="18">
        <v>0.39652777777777776</v>
      </c>
      <c r="G175" s="3" t="s">
        <v>231</v>
      </c>
      <c r="H175" s="53">
        <v>550</v>
      </c>
      <c r="I175" s="12">
        <v>27.4</v>
      </c>
      <c r="J175" s="50">
        <v>46.4</v>
      </c>
      <c r="L175" s="3">
        <f t="shared" si="23"/>
        <v>15.07</v>
      </c>
      <c r="M175" s="3">
        <f t="shared" si="31"/>
        <v>25.52</v>
      </c>
      <c r="N175" s="40">
        <f t="shared" si="32"/>
        <v>10450</v>
      </c>
      <c r="O175" s="24">
        <f t="shared" si="33"/>
        <v>0.6934306569343065</v>
      </c>
      <c r="P175" s="3" t="s">
        <v>40</v>
      </c>
      <c r="Q175" s="31" t="str">
        <f t="shared" si="29"/>
        <v xml:space="preserve"> Profit :  69 % |  Rs. 10,450  |  in 1 day.
27.4--&gt;46.4 
15.1 k --&gt; 25.5k 
Profit: Rs. 10,450 ( 69 % ) in 1 day 
 #ST11032602
Enjoy the Profits</v>
      </c>
      <c r="R175" s="3" t="str">
        <f t="shared" si="30"/>
        <v>27.4--&gt;46.4 
15.1 k --&gt; 25.5k 
Profit: Rs. 10,450 ( 69 % ) in 1 day 
 #ST11032602</v>
      </c>
      <c r="S175" s="3" t="str">
        <f t="shared" si="27"/>
        <v>#ST11032602</v>
      </c>
    </row>
    <row r="176" spans="1:26" x14ac:dyDescent="0.35">
      <c r="A176" s="35">
        <v>173</v>
      </c>
      <c r="B176" s="15">
        <v>46092</v>
      </c>
      <c r="C176" s="1" t="s">
        <v>24</v>
      </c>
      <c r="E176" s="3" t="str">
        <f t="shared" si="28"/>
        <v>Option</v>
      </c>
      <c r="F176" s="18">
        <v>0.39930555555555558</v>
      </c>
      <c r="G176" s="3" t="s">
        <v>230</v>
      </c>
      <c r="H176" s="53">
        <v>625</v>
      </c>
      <c r="I176" s="12">
        <v>29.25</v>
      </c>
      <c r="J176" s="50">
        <v>30.65</v>
      </c>
      <c r="K176" s="3">
        <v>24.1</v>
      </c>
      <c r="L176" s="3">
        <f t="shared" ref="L176:L239" si="34">IF(H176&lt;&gt;0,H176*I176/1000,"")</f>
        <v>18.28125</v>
      </c>
      <c r="M176" s="3">
        <f t="shared" si="31"/>
        <v>19.15625</v>
      </c>
      <c r="N176" s="40">
        <f t="shared" si="32"/>
        <v>875</v>
      </c>
      <c r="O176" s="24">
        <f t="shared" si="33"/>
        <v>4.7863247863247867E-2</v>
      </c>
      <c r="Q176" s="31" t="str">
        <f t="shared" si="29"/>
        <v xml:space="preserve"> Profit :  5 % |  Rs. 875  |  in .
29.25--&gt;30.65 
18.3 k --&gt; 19.2k 
Profit: Rs. 875 ( 5 % ) in  
 #ST11032603
Enjoy the Profits</v>
      </c>
      <c r="R176" s="3" t="str">
        <f t="shared" si="30"/>
        <v>29.25--&gt;30.65 
18.3 k --&gt; 19.2k 
Profit: Rs. 875 ( 5 % ) in  
 #ST11032603</v>
      </c>
      <c r="S176" s="3" t="str">
        <f t="shared" si="27"/>
        <v>#ST11032603</v>
      </c>
    </row>
    <row r="177" spans="1:19" x14ac:dyDescent="0.35">
      <c r="A177" s="35">
        <v>174</v>
      </c>
      <c r="E177" s="3" t="str">
        <f t="shared" si="28"/>
        <v>Option</v>
      </c>
      <c r="G177" s="3" t="s">
        <v>235</v>
      </c>
      <c r="H177" s="53">
        <v>625</v>
      </c>
      <c r="I177" s="12">
        <v>28.3</v>
      </c>
      <c r="J177" s="50">
        <v>36.9</v>
      </c>
      <c r="L177" s="3">
        <f t="shared" si="34"/>
        <v>17.6875</v>
      </c>
      <c r="M177" s="3">
        <f t="shared" si="31"/>
        <v>23.0625</v>
      </c>
      <c r="N177" s="40">
        <f t="shared" si="32"/>
        <v>5375</v>
      </c>
      <c r="O177" s="24">
        <f t="shared" si="33"/>
        <v>0.303886925795053</v>
      </c>
      <c r="P177" s="3" t="s">
        <v>21</v>
      </c>
      <c r="Q177" s="31" t="str">
        <f t="shared" si="29"/>
        <v xml:space="preserve"> Profit :  30 % |  Rs. 5,375  |  in Overnight.
28.3--&gt;36.9 
17.7 k --&gt; 23.1k 
Profit: Rs. 5,375 ( 30 % ) in Overnight 
 #ST000100
Enjoy the Profits</v>
      </c>
      <c r="R177" s="3" t="str">
        <f t="shared" si="30"/>
        <v>28.3--&gt;36.9 
17.7 k --&gt; 23.1k 
Profit: Rs. 5,375 ( 30 % ) in Overnight 
 #ST110326</v>
      </c>
      <c r="S177" s="3" t="str">
        <f t="shared" si="27"/>
        <v>#ST000100</v>
      </c>
    </row>
    <row r="178" spans="1:19" x14ac:dyDescent="0.35">
      <c r="A178" s="35">
        <v>175</v>
      </c>
      <c r="E178" s="3" t="str">
        <f t="shared" si="28"/>
        <v/>
      </c>
      <c r="H178" s="53"/>
      <c r="J178" s="50"/>
      <c r="L178" s="3" t="str">
        <f t="shared" si="34"/>
        <v/>
      </c>
      <c r="M178" s="3" t="str">
        <f t="shared" si="31"/>
        <v/>
      </c>
      <c r="N178" s="40">
        <f t="shared" si="32"/>
        <v>0</v>
      </c>
      <c r="O178" s="24" t="str">
        <f t="shared" si="33"/>
        <v/>
      </c>
      <c r="Q178" s="31" t="str">
        <f t="shared" si="29"/>
        <v/>
      </c>
      <c r="R178" s="3" t="str">
        <f t="shared" si="30"/>
        <v/>
      </c>
      <c r="S178" s="3" t="str">
        <f t="shared" si="27"/>
        <v/>
      </c>
    </row>
    <row r="179" spans="1:19" x14ac:dyDescent="0.35">
      <c r="A179" s="35">
        <v>176</v>
      </c>
      <c r="B179" s="15">
        <v>46093</v>
      </c>
      <c r="C179" s="1" t="s">
        <v>23</v>
      </c>
      <c r="E179" s="3" t="str">
        <f t="shared" si="28"/>
        <v>Option</v>
      </c>
      <c r="F179" s="18">
        <v>0.3888888888888889</v>
      </c>
      <c r="G179" s="3" t="s">
        <v>234</v>
      </c>
      <c r="H179" s="53">
        <v>1250</v>
      </c>
      <c r="I179" s="12">
        <v>14.75</v>
      </c>
      <c r="J179" s="50">
        <v>16.100000000000001</v>
      </c>
      <c r="L179" s="3">
        <f t="shared" si="34"/>
        <v>18.4375</v>
      </c>
      <c r="M179" s="3">
        <f t="shared" si="31"/>
        <v>20.125</v>
      </c>
      <c r="N179" s="40">
        <f t="shared" si="32"/>
        <v>1688</v>
      </c>
      <c r="O179" s="24">
        <f t="shared" si="33"/>
        <v>9.1552542372881365E-2</v>
      </c>
      <c r="P179" s="3" t="s">
        <v>91</v>
      </c>
      <c r="Q179" s="31" t="str">
        <f t="shared" si="29"/>
        <v xml:space="preserve"> Profit :  9 % |  Rs. 1,688  |  in 4 min.
14.75--&gt;16.1 
18.4 k --&gt; 20.1k 
Profit: Rs. 1,688 ( 9 % ) in 4 min 
 #ST12032601
Enjoy the Profits</v>
      </c>
      <c r="R179" s="3" t="str">
        <f t="shared" si="30"/>
        <v>14.75--&gt;16.1 
18.4 k --&gt; 20.1k 
Profit: Rs. 1,688 ( 9 % ) in 4 min 
 #ST00010001</v>
      </c>
      <c r="S179" s="3" t="str">
        <f t="shared" si="27"/>
        <v>#ST12032601</v>
      </c>
    </row>
    <row r="180" spans="1:19" x14ac:dyDescent="0.35">
      <c r="A180" s="35">
        <v>177</v>
      </c>
      <c r="B180" s="15">
        <v>46093</v>
      </c>
      <c r="C180" s="1" t="s">
        <v>20</v>
      </c>
      <c r="E180" s="3" t="str">
        <f t="shared" si="28"/>
        <v/>
      </c>
      <c r="H180" s="53"/>
      <c r="J180" s="50"/>
      <c r="L180" s="3" t="str">
        <f t="shared" si="34"/>
        <v/>
      </c>
      <c r="M180" s="3" t="str">
        <f t="shared" si="31"/>
        <v/>
      </c>
      <c r="N180" s="40">
        <f t="shared" si="32"/>
        <v>0</v>
      </c>
      <c r="O180" s="24" t="str">
        <f t="shared" si="33"/>
        <v/>
      </c>
      <c r="Q180" s="31" t="str">
        <f t="shared" si="29"/>
        <v/>
      </c>
      <c r="R180" s="3" t="str">
        <f t="shared" si="30"/>
        <v/>
      </c>
      <c r="S180" s="3" t="str">
        <f t="shared" si="27"/>
        <v/>
      </c>
    </row>
    <row r="181" spans="1:19" x14ac:dyDescent="0.35">
      <c r="A181" s="35">
        <v>178</v>
      </c>
      <c r="E181" s="3" t="str">
        <f t="shared" si="28"/>
        <v>Option</v>
      </c>
      <c r="G181" s="3" t="s">
        <v>236</v>
      </c>
      <c r="H181" s="53">
        <v>1900</v>
      </c>
      <c r="I181" s="12">
        <v>9.9499999999999993</v>
      </c>
      <c r="J181" s="50"/>
      <c r="L181" s="3">
        <f t="shared" si="34"/>
        <v>18.905000000000001</v>
      </c>
      <c r="M181" s="3">
        <f t="shared" si="31"/>
        <v>0</v>
      </c>
      <c r="N181" s="40">
        <f t="shared" si="32"/>
        <v>-18905</v>
      </c>
      <c r="O181" s="24">
        <f t="shared" si="33"/>
        <v>-0.99999999999999989</v>
      </c>
      <c r="Q181" s="31" t="str">
        <f t="shared" si="29"/>
        <v xml:space="preserve"> Profit :  -100 % |  Rs. -18,905  |  in .
9.95--&gt; 
18.9 k --&gt; 0k 
Profit: Rs. -18,905 ( -100 % ) in  
 #ST000100
Enjoy the Profits</v>
      </c>
      <c r="R181" s="3" t="str">
        <f t="shared" si="30"/>
        <v>9.95--&gt; 
18.9 k --&gt; 0k 
Profit: Rs. -18,905 ( -100 % ) in  
 #ST120326</v>
      </c>
      <c r="S181" s="3" t="str">
        <f t="shared" si="27"/>
        <v>#ST000100</v>
      </c>
    </row>
    <row r="182" spans="1:19" x14ac:dyDescent="0.35">
      <c r="A182" s="35">
        <v>179</v>
      </c>
      <c r="E182" s="3" t="str">
        <f t="shared" si="28"/>
        <v/>
      </c>
      <c r="H182" s="53"/>
      <c r="J182" s="50"/>
      <c r="L182" s="3" t="str">
        <f t="shared" si="34"/>
        <v/>
      </c>
      <c r="M182" s="3" t="str">
        <f t="shared" si="31"/>
        <v/>
      </c>
      <c r="N182" s="40">
        <f t="shared" si="32"/>
        <v>0</v>
      </c>
      <c r="O182" s="24" t="str">
        <f t="shared" si="33"/>
        <v/>
      </c>
      <c r="Q182" s="31" t="str">
        <f t="shared" si="29"/>
        <v/>
      </c>
      <c r="R182" s="3" t="str">
        <f t="shared" si="30"/>
        <v/>
      </c>
      <c r="S182" s="3" t="str">
        <f t="shared" si="27"/>
        <v/>
      </c>
    </row>
    <row r="183" spans="1:19" x14ac:dyDescent="0.35">
      <c r="A183" s="35">
        <v>180</v>
      </c>
      <c r="B183" s="15">
        <v>46097</v>
      </c>
      <c r="C183" s="1" t="s">
        <v>23</v>
      </c>
      <c r="E183" s="3" t="str">
        <f t="shared" si="28"/>
        <v>Option</v>
      </c>
      <c r="F183" s="18">
        <v>0.40833333333333333</v>
      </c>
      <c r="G183" s="3" t="s">
        <v>237</v>
      </c>
      <c r="H183" s="53">
        <v>65</v>
      </c>
      <c r="I183" s="12">
        <v>258</v>
      </c>
      <c r="J183" s="50">
        <v>468</v>
      </c>
      <c r="K183" s="3">
        <v>220</v>
      </c>
      <c r="L183" s="3">
        <f t="shared" si="34"/>
        <v>16.77</v>
      </c>
      <c r="M183" s="3">
        <f t="shared" si="31"/>
        <v>30.42</v>
      </c>
      <c r="N183" s="40">
        <f t="shared" si="32"/>
        <v>13650</v>
      </c>
      <c r="O183" s="24">
        <f t="shared" si="33"/>
        <v>0.81395348837209303</v>
      </c>
      <c r="P183" s="3" t="s">
        <v>37</v>
      </c>
      <c r="Q183" s="31" t="str">
        <f t="shared" si="29"/>
        <v xml:space="preserve"> Profit :  81 % |  Rs. 13,650  |  in 50 min.
258--&gt;468 
16.8 k --&gt; 30.4k 
Profit: Rs. 13,650 ( 81 % ) in 50 min 
 #ST16032601
Enjoy the Profits</v>
      </c>
      <c r="R183" s="3" t="str">
        <f t="shared" si="30"/>
        <v>258--&gt;468 
16.8 k --&gt; 30.4k 
Profit: Rs. 13,650 ( 81 % ) in 50 min 
 #ST00010001</v>
      </c>
      <c r="S183" s="3" t="str">
        <f t="shared" si="27"/>
        <v>#ST16032601</v>
      </c>
    </row>
    <row r="184" spans="1:19" x14ac:dyDescent="0.35">
      <c r="A184" s="35">
        <v>181</v>
      </c>
      <c r="B184" s="15">
        <v>46097</v>
      </c>
      <c r="C184" s="1" t="s">
        <v>20</v>
      </c>
      <c r="E184" s="3" t="str">
        <f t="shared" si="28"/>
        <v/>
      </c>
      <c r="H184" s="53"/>
      <c r="J184" s="50"/>
      <c r="L184" s="3" t="str">
        <f t="shared" si="34"/>
        <v/>
      </c>
      <c r="M184" s="3" t="str">
        <f t="shared" si="31"/>
        <v/>
      </c>
      <c r="N184" s="40">
        <f t="shared" si="32"/>
        <v>0</v>
      </c>
      <c r="O184" s="24" t="str">
        <f t="shared" si="33"/>
        <v/>
      </c>
      <c r="Q184" s="31" t="str">
        <f t="shared" si="29"/>
        <v/>
      </c>
      <c r="R184" s="3" t="str">
        <f t="shared" si="30"/>
        <v/>
      </c>
      <c r="S184" s="3" t="str">
        <f t="shared" si="27"/>
        <v/>
      </c>
    </row>
    <row r="185" spans="1:19" x14ac:dyDescent="0.35">
      <c r="A185" s="35">
        <v>182</v>
      </c>
      <c r="B185" s="15">
        <v>46097</v>
      </c>
      <c r="C185" s="1" t="s">
        <v>24</v>
      </c>
      <c r="E185" s="3" t="str">
        <f t="shared" si="28"/>
        <v/>
      </c>
      <c r="H185" s="53"/>
      <c r="J185" s="50"/>
      <c r="L185" s="3" t="str">
        <f t="shared" si="34"/>
        <v/>
      </c>
      <c r="M185" s="3" t="str">
        <f t="shared" si="31"/>
        <v/>
      </c>
      <c r="N185" s="40">
        <f t="shared" si="32"/>
        <v>0</v>
      </c>
      <c r="O185" s="24" t="str">
        <f t="shared" si="33"/>
        <v/>
      </c>
      <c r="Q185" s="31" t="str">
        <f t="shared" si="29"/>
        <v/>
      </c>
      <c r="R185" s="3" t="str">
        <f t="shared" si="30"/>
        <v/>
      </c>
      <c r="S185" s="3" t="str">
        <f t="shared" si="27"/>
        <v/>
      </c>
    </row>
    <row r="186" spans="1:19" x14ac:dyDescent="0.35">
      <c r="A186" s="35">
        <v>183</v>
      </c>
      <c r="E186" s="3" t="str">
        <f t="shared" si="28"/>
        <v/>
      </c>
      <c r="H186" s="53"/>
      <c r="J186" s="50"/>
      <c r="L186" s="3" t="str">
        <f t="shared" si="34"/>
        <v/>
      </c>
      <c r="M186" s="3" t="str">
        <f t="shared" si="31"/>
        <v/>
      </c>
      <c r="N186" s="40">
        <f t="shared" si="32"/>
        <v>0</v>
      </c>
      <c r="O186" s="24" t="str">
        <f t="shared" si="33"/>
        <v/>
      </c>
      <c r="Q186" s="31" t="str">
        <f t="shared" si="29"/>
        <v/>
      </c>
      <c r="R186" s="3" t="str">
        <f t="shared" si="30"/>
        <v/>
      </c>
      <c r="S186" s="3" t="str">
        <f t="shared" si="27"/>
        <v/>
      </c>
    </row>
    <row r="187" spans="1:19" x14ac:dyDescent="0.35">
      <c r="A187" s="35">
        <v>184</v>
      </c>
      <c r="E187" s="3" t="str">
        <f t="shared" si="28"/>
        <v/>
      </c>
      <c r="H187" s="53"/>
      <c r="J187" s="50"/>
      <c r="L187" s="3" t="str">
        <f t="shared" si="34"/>
        <v/>
      </c>
      <c r="M187" s="3" t="str">
        <f t="shared" si="31"/>
        <v/>
      </c>
      <c r="N187" s="40">
        <f t="shared" si="32"/>
        <v>0</v>
      </c>
      <c r="O187" s="24" t="str">
        <f t="shared" si="33"/>
        <v/>
      </c>
      <c r="Q187" s="31" t="str">
        <f t="shared" si="29"/>
        <v/>
      </c>
      <c r="R187" s="3" t="str">
        <f t="shared" si="30"/>
        <v/>
      </c>
      <c r="S187" s="3" t="str">
        <f t="shared" si="27"/>
        <v/>
      </c>
    </row>
    <row r="188" spans="1:19" x14ac:dyDescent="0.35">
      <c r="A188" s="35">
        <v>185</v>
      </c>
      <c r="E188" s="3" t="str">
        <f t="shared" si="28"/>
        <v/>
      </c>
      <c r="H188" s="53"/>
      <c r="J188" s="50"/>
      <c r="L188" s="3" t="str">
        <f t="shared" si="34"/>
        <v/>
      </c>
      <c r="M188" s="3" t="str">
        <f t="shared" si="31"/>
        <v/>
      </c>
      <c r="N188" s="40">
        <f t="shared" si="32"/>
        <v>0</v>
      </c>
      <c r="O188" s="24" t="str">
        <f t="shared" si="33"/>
        <v/>
      </c>
      <c r="Q188" s="31" t="str">
        <f t="shared" si="29"/>
        <v/>
      </c>
      <c r="R188" s="3" t="str">
        <f t="shared" si="30"/>
        <v/>
      </c>
      <c r="S188" s="3" t="str">
        <f t="shared" si="27"/>
        <v/>
      </c>
    </row>
    <row r="189" spans="1:19" x14ac:dyDescent="0.35">
      <c r="A189" s="35">
        <v>186</v>
      </c>
      <c r="E189" s="3" t="str">
        <f t="shared" si="28"/>
        <v/>
      </c>
      <c r="H189" s="53"/>
      <c r="J189" s="50"/>
      <c r="L189" s="3" t="str">
        <f t="shared" si="34"/>
        <v/>
      </c>
      <c r="M189" s="3" t="str">
        <f t="shared" si="31"/>
        <v/>
      </c>
      <c r="N189" s="40">
        <f t="shared" si="32"/>
        <v>0</v>
      </c>
      <c r="O189" s="24" t="str">
        <f t="shared" si="33"/>
        <v/>
      </c>
      <c r="Q189" s="31" t="str">
        <f t="shared" si="29"/>
        <v/>
      </c>
      <c r="R189" s="3" t="str">
        <f t="shared" si="30"/>
        <v/>
      </c>
      <c r="S189" s="3" t="str">
        <f t="shared" si="27"/>
        <v/>
      </c>
    </row>
    <row r="190" spans="1:19" x14ac:dyDescent="0.35">
      <c r="A190" s="35">
        <v>187</v>
      </c>
      <c r="E190" s="3" t="str">
        <f t="shared" si="28"/>
        <v/>
      </c>
      <c r="H190" s="53"/>
      <c r="J190" s="50"/>
      <c r="L190" s="3" t="str">
        <f t="shared" si="34"/>
        <v/>
      </c>
      <c r="M190" s="3" t="str">
        <f t="shared" si="31"/>
        <v/>
      </c>
      <c r="N190" s="40">
        <f t="shared" si="32"/>
        <v>0</v>
      </c>
      <c r="O190" s="24" t="str">
        <f t="shared" si="33"/>
        <v/>
      </c>
      <c r="Q190" s="31" t="str">
        <f t="shared" si="29"/>
        <v/>
      </c>
      <c r="R190" s="3" t="str">
        <f t="shared" si="30"/>
        <v/>
      </c>
      <c r="S190" s="3" t="str">
        <f t="shared" si="27"/>
        <v/>
      </c>
    </row>
    <row r="191" spans="1:19" x14ac:dyDescent="0.35">
      <c r="A191" s="35">
        <v>188</v>
      </c>
      <c r="E191" s="3" t="str">
        <f t="shared" si="28"/>
        <v/>
      </c>
      <c r="H191" s="53"/>
      <c r="J191" s="50"/>
      <c r="L191" s="3" t="str">
        <f t="shared" si="34"/>
        <v/>
      </c>
      <c r="M191" s="3" t="str">
        <f t="shared" si="31"/>
        <v/>
      </c>
      <c r="N191" s="40">
        <f t="shared" si="32"/>
        <v>0</v>
      </c>
      <c r="O191" s="24" t="str">
        <f t="shared" si="33"/>
        <v/>
      </c>
      <c r="Q191" s="31" t="str">
        <f t="shared" si="29"/>
        <v/>
      </c>
      <c r="R191" s="3" t="str">
        <f t="shared" si="30"/>
        <v/>
      </c>
      <c r="S191" s="3" t="str">
        <f t="shared" si="27"/>
        <v/>
      </c>
    </row>
    <row r="192" spans="1:19" x14ac:dyDescent="0.35">
      <c r="A192" s="35">
        <v>189</v>
      </c>
      <c r="B192" s="15">
        <v>46099</v>
      </c>
      <c r="C192" s="1" t="s">
        <v>23</v>
      </c>
      <c r="E192" s="3" t="str">
        <f t="shared" si="28"/>
        <v>Option</v>
      </c>
      <c r="F192" s="18">
        <v>0.39166666666666666</v>
      </c>
      <c r="G192" s="3" t="s">
        <v>241</v>
      </c>
      <c r="H192" s="53">
        <v>1350</v>
      </c>
      <c r="I192" s="12">
        <v>11.9</v>
      </c>
      <c r="J192" s="50">
        <v>10.9</v>
      </c>
      <c r="K192" s="3">
        <v>10.9</v>
      </c>
      <c r="L192" s="3">
        <f t="shared" si="34"/>
        <v>16.065000000000001</v>
      </c>
      <c r="M192" s="3">
        <f t="shared" si="31"/>
        <v>14.715</v>
      </c>
      <c r="N192" s="40">
        <f t="shared" si="32"/>
        <v>-1350</v>
      </c>
      <c r="O192" s="24">
        <f t="shared" si="33"/>
        <v>-8.4033613445378158E-2</v>
      </c>
      <c r="Q192" s="31" t="str">
        <f t="shared" si="29"/>
        <v xml:space="preserve"> Profit :  -8 % |  Rs. -1,350  |  in .
11.9--&gt;10.9 
16.1 k --&gt; 14.7k 
Profit: Rs. -1,350 ( -8 % ) in  
 #ST18032601
Enjoy the Profits</v>
      </c>
      <c r="R192" s="3" t="str">
        <f t="shared" si="30"/>
        <v>11.9--&gt;10.9 
16.1 k --&gt; 14.7k 
Profit: Rs. -1,350 ( -8 % ) in  
 #ST00010001</v>
      </c>
      <c r="S192" s="3" t="str">
        <f t="shared" si="27"/>
        <v>#ST18032601</v>
      </c>
    </row>
    <row r="193" spans="1:19" x14ac:dyDescent="0.35">
      <c r="A193" s="35">
        <v>190</v>
      </c>
      <c r="B193" s="15">
        <v>46099</v>
      </c>
      <c r="C193" s="1" t="s">
        <v>20</v>
      </c>
      <c r="E193" s="3" t="str">
        <f t="shared" si="28"/>
        <v>Option</v>
      </c>
      <c r="F193" s="18">
        <v>0.39583333333333331</v>
      </c>
      <c r="G193" s="3" t="s">
        <v>240</v>
      </c>
      <c r="H193" s="53">
        <v>65</v>
      </c>
      <c r="I193" s="12">
        <v>176.5</v>
      </c>
      <c r="J193" s="50">
        <v>217</v>
      </c>
      <c r="K193" s="3">
        <v>150</v>
      </c>
      <c r="L193" s="3">
        <f t="shared" si="34"/>
        <v>11.4725</v>
      </c>
      <c r="M193" s="3">
        <f t="shared" si="31"/>
        <v>14.105</v>
      </c>
      <c r="N193" s="40">
        <f t="shared" si="32"/>
        <v>2633</v>
      </c>
      <c r="O193" s="24">
        <f t="shared" si="33"/>
        <v>0.22950533885378077</v>
      </c>
      <c r="P193" s="3" t="s">
        <v>57</v>
      </c>
      <c r="Q193" s="31" t="str">
        <f t="shared" si="29"/>
        <v xml:space="preserve"> Profit :  23 % |  Rs. 2,633  |  in 25 min.
176.5--&gt;217 
11.5 k --&gt; 14.1k 
Profit: Rs. 2,633 ( 23 % ) in 25 min 
 #ST18032602
Enjoy the Profits</v>
      </c>
      <c r="R193" s="3" t="str">
        <f t="shared" si="30"/>
        <v>176.5--&gt;217 
11.5 k --&gt; 14.1k 
Profit: Rs. 2,633 ( 23 % ) in 25 min 
 #ST18032602</v>
      </c>
      <c r="S193" s="3" t="str">
        <f t="shared" si="27"/>
        <v>#ST18032602</v>
      </c>
    </row>
    <row r="194" spans="1:19" x14ac:dyDescent="0.35">
      <c r="A194" s="35">
        <v>191</v>
      </c>
      <c r="B194" s="15">
        <v>46099</v>
      </c>
      <c r="C194" s="1" t="s">
        <v>24</v>
      </c>
      <c r="E194" s="3" t="str">
        <f t="shared" si="28"/>
        <v>Option</v>
      </c>
      <c r="F194" s="18">
        <v>0.40833333333333333</v>
      </c>
      <c r="G194" s="3" t="s">
        <v>242</v>
      </c>
      <c r="H194" s="53">
        <v>325</v>
      </c>
      <c r="I194" s="12">
        <v>35.25</v>
      </c>
      <c r="J194" s="50">
        <v>54.5</v>
      </c>
      <c r="K194" s="3">
        <v>31</v>
      </c>
      <c r="L194" s="3">
        <f t="shared" si="34"/>
        <v>11.456250000000001</v>
      </c>
      <c r="M194" s="3">
        <f t="shared" si="31"/>
        <v>17.712499999999999</v>
      </c>
      <c r="N194" s="40">
        <f t="shared" si="32"/>
        <v>6256</v>
      </c>
      <c r="O194" s="24">
        <f t="shared" si="33"/>
        <v>0.54607746863066009</v>
      </c>
      <c r="P194" s="3" t="s">
        <v>36</v>
      </c>
      <c r="Q194" s="31" t="str">
        <f t="shared" si="29"/>
        <v xml:space="preserve"> Profit :  55 % |  Rs. 6,256  |  in 1 hour.
35.25--&gt;54.5 
11.5 k --&gt; 17.7k 
Profit: Rs. 6,256 ( 55 % ) in 1 hour 
 #ST18032603
Enjoy the Profits</v>
      </c>
      <c r="R194" s="3" t="str">
        <f t="shared" si="30"/>
        <v>35.25--&gt;54.5 
11.5 k --&gt; 17.7k 
Profit: Rs. 6,256 ( 55 % ) in 1 hour 
 #ST18032603</v>
      </c>
      <c r="S194" s="3" t="str">
        <f t="shared" si="27"/>
        <v>#ST18032603</v>
      </c>
    </row>
    <row r="195" spans="1:19" x14ac:dyDescent="0.35">
      <c r="A195" s="35">
        <v>192</v>
      </c>
      <c r="B195" s="15">
        <v>46099</v>
      </c>
      <c r="C195" s="1" t="s">
        <v>25</v>
      </c>
      <c r="E195" s="3" t="str">
        <f t="shared" si="28"/>
        <v>Option</v>
      </c>
      <c r="F195" s="18">
        <v>0.42291666666666666</v>
      </c>
      <c r="G195" s="3" t="s">
        <v>243</v>
      </c>
      <c r="H195" s="53">
        <v>150</v>
      </c>
      <c r="I195" s="12">
        <v>105.1</v>
      </c>
      <c r="J195" s="50">
        <v>206</v>
      </c>
      <c r="K195" s="3">
        <v>95</v>
      </c>
      <c r="L195" s="3">
        <f t="shared" si="34"/>
        <v>15.765000000000001</v>
      </c>
      <c r="M195" s="3">
        <f t="shared" si="31"/>
        <v>30.9</v>
      </c>
      <c r="N195" s="40">
        <f t="shared" si="32"/>
        <v>15135</v>
      </c>
      <c r="O195" s="24">
        <f t="shared" si="33"/>
        <v>0.96003805899143679</v>
      </c>
      <c r="P195" s="3" t="s">
        <v>40</v>
      </c>
      <c r="Q195" s="31" t="str">
        <f t="shared" si="29"/>
        <v xml:space="preserve"> Profit :  96 % |  Rs. 15,135  |  in 1 day.
105.1--&gt;206 
15.8 k --&gt; 30.9k 
Profit: Rs. 15,135 ( 96 % ) in 1 day 
 #ST18032604
Enjoy the Profits</v>
      </c>
      <c r="R195" s="3" t="str">
        <f t="shared" si="30"/>
        <v>105.1--&gt;206 
15.8 k --&gt; 30.9k 
Profit: Rs. 15,135 ( 96 % ) in 1 day 
 #ST18032604</v>
      </c>
      <c r="S195" s="3" t="str">
        <f t="shared" si="27"/>
        <v>#ST18032604</v>
      </c>
    </row>
    <row r="196" spans="1:19" x14ac:dyDescent="0.35">
      <c r="A196" s="35">
        <v>193</v>
      </c>
      <c r="B196" s="15">
        <v>46099</v>
      </c>
      <c r="C196" s="1" t="s">
        <v>26</v>
      </c>
      <c r="E196" s="3" t="str">
        <f t="shared" si="28"/>
        <v>Option</v>
      </c>
      <c r="F196" s="18">
        <v>0.51944444444444449</v>
      </c>
      <c r="G196" s="3" t="s">
        <v>244</v>
      </c>
      <c r="H196" s="53">
        <v>30</v>
      </c>
      <c r="I196" s="12">
        <v>649</v>
      </c>
      <c r="J196" s="50">
        <v>1596</v>
      </c>
      <c r="K196" s="3">
        <v>620</v>
      </c>
      <c r="L196" s="3">
        <f t="shared" si="34"/>
        <v>19.47</v>
      </c>
      <c r="M196" s="3">
        <f t="shared" ref="M196:M227" si="35">IF(H196&lt;&gt;0,H196*J196/1000,"")</f>
        <v>47.88</v>
      </c>
      <c r="N196" s="40">
        <f t="shared" ref="N196:N227" si="36">_xlfn.NUMBERVALUE(IF(H196&lt;&gt;0,TEXT(1000*(M196-L196),"#,##,###"),""))</f>
        <v>28410</v>
      </c>
      <c r="O196" s="24">
        <f t="shared" ref="O196:O227" si="37">IF(H196&lt;&gt;0, (N196/L196)/1000,"")</f>
        <v>1.4591679506933743</v>
      </c>
      <c r="Q196" s="31" t="str">
        <f t="shared" si="29"/>
        <v xml:space="preserve"> Profit :  146 % |  Rs. 28,410  |  in .
649--&gt;1596 
19.5 k --&gt; 47.9k 
Profit: Rs. 28,410 ( 146 % ) in  
 #ST18032605
Enjoy the Profits</v>
      </c>
      <c r="R196" s="3" t="str">
        <f t="shared" si="30"/>
        <v>146 % 
One more call with over 146 % returns  in   
649--&gt;1596 
19.5 k --&gt; 47.9k 
Profit: Rs. 28,410 ( 146 % )  in  
 #ST18032605</v>
      </c>
      <c r="S196" s="3" t="str">
        <f t="shared" ref="S196:S250" si="38">IF(ISBLANK(G196),"", CONCATENATE( "#ST",TEXT(B196, "ddmmyy"),C196))</f>
        <v>#ST18032605</v>
      </c>
    </row>
    <row r="197" spans="1:19" x14ac:dyDescent="0.35">
      <c r="A197" s="35">
        <v>194</v>
      </c>
      <c r="B197" s="15">
        <v>46099</v>
      </c>
      <c r="C197" s="1" t="s">
        <v>27</v>
      </c>
      <c r="E197" s="3" t="str">
        <f t="shared" ref="E197:E208" si="39">IF(ISBLANK(G197),"",IF(RIGHT(G197,2)="CE","Option",IF(RIGHT(G197,2)="PE","Option","Stock")))</f>
        <v>Option</v>
      </c>
      <c r="F197" s="18">
        <v>0.52013888888888893</v>
      </c>
      <c r="G197" s="3" t="s">
        <v>245</v>
      </c>
      <c r="H197" s="53">
        <v>30</v>
      </c>
      <c r="I197" s="12">
        <v>478</v>
      </c>
      <c r="J197" s="50">
        <v>1247</v>
      </c>
      <c r="L197" s="3">
        <f t="shared" si="34"/>
        <v>14.34</v>
      </c>
      <c r="M197" s="3">
        <f t="shared" si="35"/>
        <v>37.409999999999997</v>
      </c>
      <c r="N197" s="40">
        <f t="shared" si="36"/>
        <v>23070</v>
      </c>
      <c r="O197" s="24">
        <f t="shared" si="37"/>
        <v>1.608786610878661</v>
      </c>
      <c r="Q197" s="31" t="str">
        <f t="shared" ref="Q197:Q254" si="40">IF(H197&lt;&gt;0,_xlfn.CONCAT(" Profit :  ",ROUND(O197*100,0)," % |  Rs. ",TEXT(ROUND(N197,1),"#,##,###"),     "  |  in ", P197,".
", I197,"--&gt;",J197," 
",ROUND(L197,1)," k --&gt; ",ROUND(M197,1),"k"," 
","Profit: Rs. ",TEXT(ROUND(N197,1),"#,##,###")," ( ",ROUND(O197*100,0)," % ) ","in ",P197," 
 #ST",TEXT(B197,"ddmmyy"),C197, "
Enjoy the Profits"),"")</f>
        <v xml:space="preserve"> Profit :  161 % |  Rs. 23,070  |  in .
478--&gt;1247 
14.3 k --&gt; 37.4k 
Profit: Rs. 23,070 ( 161 % ) in  
 #ST18032606
Enjoy the Profits</v>
      </c>
      <c r="R197" s="3" t="str">
        <f t="shared" ref="R197:R254" si="41">IF(H197&lt;&gt;0,IF(O197&gt;1,(_xlfn.CONCAT(ROUND(O197*100,0)," % ","
",  "One more call with over ", ROUND(O197*100,0)," % returns  in  ", P197," 
", I197, "--&gt;", J197, " 
", ROUND(L197,1)," k --&gt; ", ROUND(M197,1),"k"," 
Profit: Rs. ",TEXT(ROUND(N197,1),"#,##,###")," ( ",ROUND(O197*100,0)," % )  in ",P197," 
 #ST",TEXT(B196, "ddmmyy"),C197)), _xlfn.CONCAT(I197, "--&gt;", J197, " 
", ROUND(L197,1)," k --&gt; ", ROUND(M197,1),"k"," 
","Profit: Rs. ",TEXT(ROUND(N197,1),"#,##,###")," ( ",ROUND(O197*100,0)," % ) ", "in ",P197," 
 #ST",TEXT(B196, "ddmmyy"),C197)
),"")</f>
        <v>161 % 
One more call with over 161 % returns  in   
478--&gt;1247 
14.3 k --&gt; 37.4k 
Profit: Rs. 23,070 ( 161 % )  in  
 #ST18032606</v>
      </c>
      <c r="S197" s="3" t="str">
        <f t="shared" si="38"/>
        <v>#ST18032606</v>
      </c>
    </row>
    <row r="198" spans="1:19" x14ac:dyDescent="0.35">
      <c r="A198" s="35">
        <v>195</v>
      </c>
      <c r="B198" s="15">
        <v>46099</v>
      </c>
      <c r="C198" s="1" t="s">
        <v>29</v>
      </c>
      <c r="E198" s="3" t="str">
        <f t="shared" si="39"/>
        <v>Option</v>
      </c>
      <c r="F198" s="18">
        <v>0.14027777777777778</v>
      </c>
      <c r="G198" s="3" t="s">
        <v>246</v>
      </c>
      <c r="H198" s="53">
        <v>300</v>
      </c>
      <c r="I198" s="12">
        <v>17.45</v>
      </c>
      <c r="J198" s="50">
        <v>44.1</v>
      </c>
      <c r="L198" s="3">
        <f t="shared" si="34"/>
        <v>5.2350000000000003</v>
      </c>
      <c r="M198" s="3">
        <f t="shared" si="35"/>
        <v>13.23</v>
      </c>
      <c r="N198" s="40">
        <f t="shared" si="36"/>
        <v>7995</v>
      </c>
      <c r="O198" s="24">
        <f t="shared" si="37"/>
        <v>1.5272206303724927</v>
      </c>
      <c r="P198" s="3" t="s">
        <v>21</v>
      </c>
      <c r="Q198" s="31" t="str">
        <f t="shared" si="40"/>
        <v xml:space="preserve"> Profit :  153 % |  Rs. 7,995  |  in Overnight.
17.45--&gt;44.1 
5.2 k --&gt; 13.2k 
Profit: Rs. 7,995 ( 153 % ) in Overnight 
 #ST18032607
Enjoy the Profits</v>
      </c>
      <c r="R198" s="3" t="str">
        <f t="shared" si="41"/>
        <v>153 % 
One more call with over 153 % returns  in  Overnight 
17.45--&gt;44.1 
5.2 k --&gt; 13.2k 
Profit: Rs. 7,995 ( 153 % )  in Overnight 
 #ST18032607</v>
      </c>
      <c r="S198" s="3" t="str">
        <f t="shared" si="38"/>
        <v>#ST18032607</v>
      </c>
    </row>
    <row r="199" spans="1:19" x14ac:dyDescent="0.35">
      <c r="A199" s="35">
        <v>196</v>
      </c>
      <c r="B199" s="15">
        <v>46099</v>
      </c>
      <c r="C199" s="1" t="s">
        <v>31</v>
      </c>
      <c r="E199" s="3" t="str">
        <f t="shared" si="39"/>
        <v>Option</v>
      </c>
      <c r="F199" s="18">
        <v>0.14374999999999999</v>
      </c>
      <c r="G199" s="3" t="s">
        <v>247</v>
      </c>
      <c r="H199" s="53">
        <v>300</v>
      </c>
      <c r="I199" s="12">
        <v>57.35</v>
      </c>
      <c r="J199" s="50">
        <v>106.9</v>
      </c>
      <c r="L199" s="3">
        <f t="shared" si="34"/>
        <v>17.204999999999998</v>
      </c>
      <c r="M199" s="3">
        <f t="shared" si="35"/>
        <v>32.07</v>
      </c>
      <c r="N199" s="40">
        <f t="shared" si="36"/>
        <v>14865</v>
      </c>
      <c r="O199" s="24">
        <f t="shared" si="37"/>
        <v>0.86399302528334798</v>
      </c>
      <c r="P199" s="3" t="s">
        <v>21</v>
      </c>
      <c r="Q199" s="31" t="str">
        <f t="shared" si="40"/>
        <v xml:space="preserve"> Profit :  86 % |  Rs. 14,865  |  in Overnight.
57.35--&gt;106.9 
17.2 k --&gt; 32.1k 
Profit: Rs. 14,865 ( 86 % ) in Overnight 
 #ST18032608
Enjoy the Profits</v>
      </c>
      <c r="R199" s="3" t="str">
        <f t="shared" si="41"/>
        <v>57.35--&gt;106.9 
17.2 k --&gt; 32.1k 
Profit: Rs. 14,865 ( 86 % ) in Overnight 
 #ST18032608</v>
      </c>
      <c r="S199" s="3" t="str">
        <f t="shared" si="38"/>
        <v>#ST18032608</v>
      </c>
    </row>
    <row r="200" spans="1:19" x14ac:dyDescent="0.35">
      <c r="A200" s="35">
        <v>197</v>
      </c>
      <c r="B200" s="15">
        <v>46100</v>
      </c>
      <c r="C200" s="1" t="s">
        <v>23</v>
      </c>
      <c r="E200" s="3" t="str">
        <f t="shared" si="39"/>
        <v>Option</v>
      </c>
      <c r="F200" s="18">
        <v>0.39097222222222222</v>
      </c>
      <c r="G200" s="3" t="s">
        <v>246</v>
      </c>
      <c r="H200" s="53">
        <v>300</v>
      </c>
      <c r="I200" s="12">
        <v>32.85</v>
      </c>
      <c r="J200" s="50">
        <v>44.1</v>
      </c>
      <c r="K200" s="3">
        <v>25</v>
      </c>
      <c r="L200" s="3">
        <f t="shared" si="34"/>
        <v>9.8550000000000004</v>
      </c>
      <c r="M200" s="3">
        <f t="shared" si="35"/>
        <v>13.23</v>
      </c>
      <c r="N200" s="40">
        <f t="shared" si="36"/>
        <v>3375</v>
      </c>
      <c r="O200" s="24">
        <f t="shared" si="37"/>
        <v>0.34246575342465752</v>
      </c>
      <c r="P200" s="3" t="s">
        <v>42</v>
      </c>
      <c r="Q200" s="31" t="str">
        <f t="shared" si="40"/>
        <v xml:space="preserve"> Profit :  34 % |  Rs. 3,375  |  in 3 hours.
32.85--&gt;44.1 
9.9 k --&gt; 13.2k 
Profit: Rs. 3,375 ( 34 % ) in 3 hours 
 #ST19032601
Enjoy the Profits</v>
      </c>
      <c r="R200" s="3" t="str">
        <f t="shared" si="41"/>
        <v>32.85--&gt;44.1 
9.9 k --&gt; 13.2k 
Profit: Rs. 3,375 ( 34 % ) in 3 hours 
 #ST18032601</v>
      </c>
      <c r="S200" s="3" t="str">
        <f t="shared" si="38"/>
        <v>#ST19032601</v>
      </c>
    </row>
    <row r="201" spans="1:19" x14ac:dyDescent="0.35">
      <c r="A201" s="35">
        <v>198</v>
      </c>
      <c r="B201" s="15">
        <v>46100</v>
      </c>
      <c r="C201" s="1" t="s">
        <v>20</v>
      </c>
      <c r="E201" s="3" t="str">
        <f t="shared" si="39"/>
        <v>Option</v>
      </c>
      <c r="F201" s="18">
        <v>0.49513888888888891</v>
      </c>
      <c r="G201" s="3" t="s">
        <v>248</v>
      </c>
      <c r="H201" s="53">
        <v>150</v>
      </c>
      <c r="I201" s="12">
        <v>98.05</v>
      </c>
      <c r="J201" s="50">
        <v>101</v>
      </c>
      <c r="K201" s="3">
        <v>89</v>
      </c>
      <c r="L201" s="3">
        <f t="shared" si="34"/>
        <v>14.7075</v>
      </c>
      <c r="M201" s="3">
        <f t="shared" si="35"/>
        <v>15.15</v>
      </c>
      <c r="N201" s="40">
        <f t="shared" si="36"/>
        <v>443</v>
      </c>
      <c r="O201" s="24">
        <f t="shared" si="37"/>
        <v>3.0120686724460308E-2</v>
      </c>
      <c r="Q201" s="31" t="str">
        <f t="shared" si="40"/>
        <v xml:space="preserve"> Profit :  3 % |  Rs. 443  |  in .
98.05--&gt;101 
14.7 k --&gt; 15.2k 
Profit: Rs. 443 ( 3 % ) in  
 #ST19032602
Enjoy the Profits</v>
      </c>
      <c r="R201" s="3" t="str">
        <f t="shared" si="41"/>
        <v>98.05--&gt;101 
14.7 k --&gt; 15.2k 
Profit: Rs. 443 ( 3 % ) in  
 #ST19032602</v>
      </c>
      <c r="S201" s="3" t="str">
        <f t="shared" si="38"/>
        <v>#ST19032602</v>
      </c>
    </row>
    <row r="202" spans="1:19" x14ac:dyDescent="0.35">
      <c r="A202" s="35">
        <v>199</v>
      </c>
      <c r="B202" s="15">
        <v>46100</v>
      </c>
      <c r="C202" s="1" t="s">
        <v>24</v>
      </c>
      <c r="E202" s="3" t="str">
        <f t="shared" si="39"/>
        <v>Option</v>
      </c>
      <c r="F202" s="18">
        <v>0.49652777777777779</v>
      </c>
      <c r="G202" s="3" t="s">
        <v>249</v>
      </c>
      <c r="H202" s="53">
        <v>1250</v>
      </c>
      <c r="I202" s="12">
        <v>15.75</v>
      </c>
      <c r="J202" s="50">
        <v>16.649999999999999</v>
      </c>
      <c r="K202" s="3">
        <v>13</v>
      </c>
      <c r="L202" s="3">
        <f t="shared" si="34"/>
        <v>19.6875</v>
      </c>
      <c r="M202" s="3">
        <f t="shared" si="35"/>
        <v>20.8125</v>
      </c>
      <c r="N202" s="40">
        <f t="shared" si="36"/>
        <v>1125</v>
      </c>
      <c r="O202" s="24">
        <f t="shared" si="37"/>
        <v>5.7142857142857148E-2</v>
      </c>
      <c r="P202" s="3" t="s">
        <v>49</v>
      </c>
      <c r="Q202" s="31" t="str">
        <f t="shared" si="40"/>
        <v xml:space="preserve"> Profit :  6 % |  Rs. 1,125  |  in 15 min.
15.75--&gt;16.65 
19.7 k --&gt; 20.8k 
Profit: Rs. 1,125 ( 6 % ) in 15 min 
 #ST19032603
Enjoy the Profits</v>
      </c>
      <c r="R202" s="3" t="str">
        <f t="shared" si="41"/>
        <v>15.75--&gt;16.65 
19.7 k --&gt; 20.8k 
Profit: Rs. 1,125 ( 6 % ) in 15 min 
 #ST19032603</v>
      </c>
      <c r="S202" s="3" t="str">
        <f t="shared" si="38"/>
        <v>#ST19032603</v>
      </c>
    </row>
    <row r="203" spans="1:19" x14ac:dyDescent="0.35">
      <c r="A203" s="35">
        <v>200</v>
      </c>
      <c r="B203" s="15">
        <v>46100</v>
      </c>
      <c r="C203" s="1" t="s">
        <v>25</v>
      </c>
      <c r="E203" s="3" t="str">
        <f t="shared" si="39"/>
        <v>Option</v>
      </c>
      <c r="F203" s="18">
        <v>8.1944444444444445E-2</v>
      </c>
      <c r="G203" s="3" t="s">
        <v>250</v>
      </c>
      <c r="H203" s="53">
        <v>65</v>
      </c>
      <c r="I203" s="12">
        <v>186.4</v>
      </c>
      <c r="J203" s="50">
        <v>309</v>
      </c>
      <c r="L203" s="3">
        <f t="shared" si="34"/>
        <v>12.116</v>
      </c>
      <c r="M203" s="3">
        <f t="shared" si="35"/>
        <v>20.085000000000001</v>
      </c>
      <c r="N203" s="40">
        <f t="shared" si="36"/>
        <v>7969</v>
      </c>
      <c r="O203" s="24">
        <f t="shared" si="37"/>
        <v>0.65772532188841204</v>
      </c>
      <c r="P203" s="3" t="s">
        <v>36</v>
      </c>
      <c r="Q203" s="31" t="str">
        <f t="shared" si="40"/>
        <v xml:space="preserve"> Profit :  66 % |  Rs. 7,969  |  in 1 hour.
186.4--&gt;309 
12.1 k --&gt; 20.1k 
Profit: Rs. 7,969 ( 66 % ) in 1 hour 
 #ST19032604
Enjoy the Profits</v>
      </c>
      <c r="R203" s="3" t="str">
        <f t="shared" si="41"/>
        <v>186.4--&gt;309 
12.1 k --&gt; 20.1k 
Profit: Rs. 7,969 ( 66 % ) in 1 hour 
 #ST19032604</v>
      </c>
      <c r="S203" s="3" t="str">
        <f t="shared" si="38"/>
        <v>#ST19032604</v>
      </c>
    </row>
    <row r="204" spans="1:19" x14ac:dyDescent="0.35">
      <c r="A204" s="35">
        <v>201</v>
      </c>
      <c r="B204" s="15">
        <v>46100</v>
      </c>
      <c r="C204" s="1" t="s">
        <v>26</v>
      </c>
      <c r="E204" s="3" t="str">
        <f t="shared" si="39"/>
        <v>Option</v>
      </c>
      <c r="F204" s="18">
        <v>9.8611111111111108E-2</v>
      </c>
      <c r="G204" s="3" t="s">
        <v>248</v>
      </c>
      <c r="H204" s="53">
        <v>150</v>
      </c>
      <c r="I204" s="12">
        <v>119</v>
      </c>
      <c r="J204" s="50">
        <v>137</v>
      </c>
      <c r="K204" s="3">
        <v>108</v>
      </c>
      <c r="L204" s="3">
        <f t="shared" si="34"/>
        <v>17.850000000000001</v>
      </c>
      <c r="M204" s="3">
        <f t="shared" si="35"/>
        <v>20.55</v>
      </c>
      <c r="N204" s="40">
        <f t="shared" si="36"/>
        <v>2700</v>
      </c>
      <c r="O204" s="24">
        <f t="shared" si="37"/>
        <v>0.15126050420168063</v>
      </c>
      <c r="P204" s="3" t="s">
        <v>58</v>
      </c>
      <c r="Q204" s="31" t="str">
        <f t="shared" si="40"/>
        <v xml:space="preserve"> Profit :  15 % |  Rs. 2,700  |  in 20 min.
119--&gt;137 
17.9 k --&gt; 20.6k 
Profit: Rs. 2,700 ( 15 % ) in 20 min 
 #ST19032605
Enjoy the Profits</v>
      </c>
      <c r="R204" s="3" t="str">
        <f t="shared" si="41"/>
        <v>119--&gt;137 
17.9 k --&gt; 20.6k 
Profit: Rs. 2,700 ( 15 % ) in 20 min 
 #ST19032605</v>
      </c>
      <c r="S204" s="3" t="str">
        <f t="shared" si="38"/>
        <v>#ST19032605</v>
      </c>
    </row>
    <row r="205" spans="1:19" x14ac:dyDescent="0.35">
      <c r="A205" s="35">
        <v>202</v>
      </c>
      <c r="B205" s="15">
        <v>46100</v>
      </c>
      <c r="C205" s="1" t="s">
        <v>27</v>
      </c>
      <c r="E205" s="3" t="str">
        <f t="shared" si="39"/>
        <v>Option</v>
      </c>
      <c r="F205" s="18">
        <v>0.14444444444444443</v>
      </c>
      <c r="G205" s="3" t="s">
        <v>251</v>
      </c>
      <c r="H205" s="53">
        <v>500</v>
      </c>
      <c r="I205" s="12">
        <v>34.15</v>
      </c>
      <c r="J205" s="50">
        <v>24</v>
      </c>
      <c r="L205" s="3">
        <f t="shared" si="34"/>
        <v>17.074999999999999</v>
      </c>
      <c r="M205" s="3">
        <f t="shared" si="35"/>
        <v>12</v>
      </c>
      <c r="N205" s="40">
        <f t="shared" si="36"/>
        <v>-5075</v>
      </c>
      <c r="O205" s="24">
        <f t="shared" si="37"/>
        <v>-0.29721815519765737</v>
      </c>
      <c r="Q205" s="31" t="str">
        <f t="shared" si="40"/>
        <v xml:space="preserve"> Profit :  -30 % |  Rs. -5,075  |  in .
34.15--&gt;24 
17.1 k --&gt; 12k 
Profit: Rs. -5,075 ( -30 % ) in  
 #ST19032606
Enjoy the Profits</v>
      </c>
      <c r="R205" s="3" t="str">
        <f t="shared" si="41"/>
        <v>34.15--&gt;24 
17.1 k --&gt; 12k 
Profit: Rs. -5,075 ( -30 % ) in  
 #ST19032606</v>
      </c>
      <c r="S205" s="3" t="str">
        <f t="shared" si="38"/>
        <v>#ST19032606</v>
      </c>
    </row>
    <row r="206" spans="1:19" x14ac:dyDescent="0.35">
      <c r="A206" s="35">
        <v>203</v>
      </c>
      <c r="B206" s="15">
        <v>46101</v>
      </c>
      <c r="C206" s="1" t="s">
        <v>23</v>
      </c>
      <c r="E206" s="3" t="str">
        <f t="shared" si="39"/>
        <v>Option</v>
      </c>
      <c r="F206" s="18">
        <v>0.39583333333333331</v>
      </c>
      <c r="G206" s="3" t="s">
        <v>253</v>
      </c>
      <c r="H206" s="53">
        <v>1900</v>
      </c>
      <c r="I206" s="12">
        <v>8.25</v>
      </c>
      <c r="J206" s="50">
        <v>12.4</v>
      </c>
      <c r="K206" s="3">
        <v>7.3</v>
      </c>
      <c r="L206" s="3">
        <f t="shared" si="34"/>
        <v>15.675000000000001</v>
      </c>
      <c r="M206" s="3">
        <f t="shared" si="35"/>
        <v>23.56</v>
      </c>
      <c r="N206" s="40">
        <f t="shared" si="36"/>
        <v>7885</v>
      </c>
      <c r="O206" s="24">
        <f t="shared" si="37"/>
        <v>0.50303030303030305</v>
      </c>
      <c r="P206" s="3" t="s">
        <v>36</v>
      </c>
      <c r="Q206" s="31" t="str">
        <f t="shared" si="40"/>
        <v xml:space="preserve"> Profit :  50 % |  Rs. 7,885  |  in 1 hour.
8.25--&gt;12.4 
15.7 k --&gt; 23.6k 
Profit: Rs. 7,885 ( 50 % ) in 1 hour 
 #ST20032601
Enjoy the Profits</v>
      </c>
      <c r="R206" s="3" t="str">
        <f t="shared" si="41"/>
        <v>8.25--&gt;12.4 
15.7 k --&gt; 23.6k 
Profit: Rs. 7,885 ( 50 % ) in 1 hour 
 #ST19032601</v>
      </c>
      <c r="S206" s="3" t="str">
        <f t="shared" si="38"/>
        <v>#ST20032601</v>
      </c>
    </row>
    <row r="207" spans="1:19" x14ac:dyDescent="0.35">
      <c r="A207" s="35">
        <v>204</v>
      </c>
      <c r="B207" s="15">
        <v>46101</v>
      </c>
      <c r="C207" s="1" t="s">
        <v>20</v>
      </c>
      <c r="E207" s="3" t="str">
        <f t="shared" si="39"/>
        <v>Option</v>
      </c>
      <c r="F207" s="18">
        <v>0.39652777777777776</v>
      </c>
      <c r="G207" s="3" t="s">
        <v>252</v>
      </c>
      <c r="H207" s="53">
        <v>1350</v>
      </c>
      <c r="I207" s="12">
        <v>12.5</v>
      </c>
      <c r="J207" s="50">
        <v>15.55</v>
      </c>
      <c r="K207" s="3">
        <v>11.3</v>
      </c>
      <c r="L207" s="3">
        <f t="shared" si="34"/>
        <v>16.875</v>
      </c>
      <c r="M207" s="3">
        <f t="shared" si="35"/>
        <v>20.9925</v>
      </c>
      <c r="N207" s="40">
        <f t="shared" si="36"/>
        <v>4118</v>
      </c>
      <c r="O207" s="24">
        <f t="shared" si="37"/>
        <v>0.24402962962962962</v>
      </c>
      <c r="P207" s="3" t="s">
        <v>37</v>
      </c>
      <c r="Q207" s="31" t="str">
        <f t="shared" si="40"/>
        <v xml:space="preserve"> Profit :  24 % |  Rs. 4,118  |  in 50 min.
12.5--&gt;15.55 
16.9 k --&gt; 21k 
Profit: Rs. 4,118 ( 24 % ) in 50 min 
 #ST20032602
Enjoy the Profits</v>
      </c>
      <c r="R207" s="3" t="str">
        <f t="shared" si="41"/>
        <v>12.5--&gt;15.55 
16.9 k --&gt; 21k 
Profit: Rs. 4,118 ( 24 % ) in 50 min 
 #ST20032602</v>
      </c>
      <c r="S207" s="3" t="str">
        <f t="shared" si="38"/>
        <v>#ST20032602</v>
      </c>
    </row>
    <row r="208" spans="1:19" x14ac:dyDescent="0.35">
      <c r="A208" s="35">
        <v>205</v>
      </c>
      <c r="B208" s="15">
        <v>46101</v>
      </c>
      <c r="C208" s="1" t="s">
        <v>24</v>
      </c>
      <c r="E208" s="3" t="str">
        <f t="shared" si="39"/>
        <v>Option</v>
      </c>
      <c r="F208" s="3" t="s">
        <v>257</v>
      </c>
      <c r="G208" s="3" t="s">
        <v>254</v>
      </c>
      <c r="H208" s="53">
        <v>800</v>
      </c>
      <c r="I208" s="12">
        <v>11.8</v>
      </c>
      <c r="J208" s="50">
        <v>13</v>
      </c>
      <c r="K208" s="3">
        <v>10.6</v>
      </c>
      <c r="L208" s="3">
        <f t="shared" si="34"/>
        <v>9.44</v>
      </c>
      <c r="M208" s="3">
        <f t="shared" si="35"/>
        <v>10.4</v>
      </c>
      <c r="N208" s="40">
        <f t="shared" si="36"/>
        <v>960</v>
      </c>
      <c r="O208" s="24">
        <f t="shared" si="37"/>
        <v>0.10169491525423728</v>
      </c>
      <c r="P208" s="3" t="s">
        <v>38</v>
      </c>
      <c r="Q208" s="31" t="str">
        <f t="shared" si="40"/>
        <v xml:space="preserve"> Profit :  10 % |  Rs. 960  |  in 6 min.
11.8--&gt;13 
9.4 k --&gt; 10.4k 
Profit: Rs. 960 ( 10 % ) in 6 min 
 #ST20032603
Enjoy the Profits</v>
      </c>
      <c r="R208" s="3" t="str">
        <f t="shared" si="41"/>
        <v>11.8--&gt;13 
9.4 k --&gt; 10.4k 
Profit: Rs. 960 ( 10 % ) in 6 min 
 #ST20032603</v>
      </c>
      <c r="S208" s="3" t="str">
        <f t="shared" si="38"/>
        <v>#ST20032603</v>
      </c>
    </row>
    <row r="209" spans="1:19" x14ac:dyDescent="0.35">
      <c r="A209" s="35">
        <v>206</v>
      </c>
      <c r="B209" s="15">
        <v>46101</v>
      </c>
      <c r="C209" s="1" t="s">
        <v>25</v>
      </c>
      <c r="E209" s="3" t="str">
        <f>IF(ISBLANK(G209),"",IF(RIGHT(G209,2)="CE","Option",IF(RIGHT(G209,2)="PE","Option","Stock")))</f>
        <v>Option</v>
      </c>
      <c r="F209" s="18">
        <v>7.4305555555555555E-2</v>
      </c>
      <c r="G209" s="3" t="s">
        <v>256</v>
      </c>
      <c r="H209" s="53">
        <v>925</v>
      </c>
      <c r="I209" s="12">
        <v>14.75</v>
      </c>
      <c r="J209" s="50">
        <v>17.850000000000001</v>
      </c>
      <c r="K209" s="3">
        <v>12</v>
      </c>
      <c r="L209" s="3">
        <f t="shared" si="34"/>
        <v>13.643750000000001</v>
      </c>
      <c r="M209" s="3">
        <f t="shared" si="35"/>
        <v>16.51125</v>
      </c>
      <c r="N209" s="40">
        <f t="shared" si="36"/>
        <v>2868</v>
      </c>
      <c r="O209" s="24">
        <f t="shared" si="37"/>
        <v>0.21020613834173155</v>
      </c>
      <c r="P209" s="3" t="s">
        <v>37</v>
      </c>
      <c r="Q209" s="31" t="str">
        <f t="shared" si="40"/>
        <v xml:space="preserve"> Profit :  21 % |  Rs. 2,868  |  in 50 min.
14.75--&gt;17.85 
13.6 k --&gt; 16.5k 
Profit: Rs. 2,868 ( 21 % ) in 50 min 
 #ST20032604
Enjoy the Profits</v>
      </c>
      <c r="R209" s="3" t="str">
        <f t="shared" si="41"/>
        <v>14.75--&gt;17.85 
13.6 k --&gt; 16.5k 
Profit: Rs. 2,868 ( 21 % ) in 50 min 
 #ST20032604</v>
      </c>
      <c r="S209" s="3" t="str">
        <f t="shared" si="38"/>
        <v>#ST20032604</v>
      </c>
    </row>
    <row r="210" spans="1:19" x14ac:dyDescent="0.35">
      <c r="A210" s="35">
        <v>207</v>
      </c>
      <c r="B210" s="15">
        <v>46101</v>
      </c>
      <c r="C210" s="1" t="s">
        <v>26</v>
      </c>
      <c r="E210" s="3" t="str">
        <f t="shared" ref="E210:E215" si="42">IF(ISBLANK(G210),"",IF(RIGHT(G210,2)="CE","Option",IF(RIGHT(G210,2)="PE","Option","Stock")))</f>
        <v>Option</v>
      </c>
      <c r="F210" s="18">
        <v>0.1451388888888889</v>
      </c>
      <c r="G210" s="3" t="s">
        <v>258</v>
      </c>
      <c r="H210" s="53">
        <v>1000</v>
      </c>
      <c r="I210" s="12">
        <v>17.7</v>
      </c>
      <c r="J210" s="50">
        <v>7.6</v>
      </c>
      <c r="L210" s="3">
        <f t="shared" si="34"/>
        <v>17.7</v>
      </c>
      <c r="M210" s="3">
        <f t="shared" si="35"/>
        <v>7.6</v>
      </c>
      <c r="N210" s="40">
        <f t="shared" si="36"/>
        <v>-10100</v>
      </c>
      <c r="O210" s="24">
        <f t="shared" si="37"/>
        <v>-0.57062146892655374</v>
      </c>
      <c r="Q210" s="31" t="str">
        <f t="shared" si="40"/>
        <v xml:space="preserve"> Profit :  -57 % |  Rs. -10,100  |  in .
17.7--&gt;7.6 
17.7 k --&gt; 7.6k 
Profit: Rs. -10,100 ( -57 % ) in  
 #ST20032605
Enjoy the Profits</v>
      </c>
      <c r="R210" s="3" t="str">
        <f t="shared" si="41"/>
        <v>17.7--&gt;7.6 
17.7 k --&gt; 7.6k 
Profit: Rs. -10,100 ( -57 % ) in  
 #ST20032605</v>
      </c>
      <c r="S210" s="3" t="str">
        <f t="shared" si="38"/>
        <v>#ST20032605</v>
      </c>
    </row>
    <row r="211" spans="1:19" x14ac:dyDescent="0.35">
      <c r="C211" s="1" t="s">
        <v>27</v>
      </c>
      <c r="E211" s="3" t="str">
        <f t="shared" si="42"/>
        <v/>
      </c>
      <c r="H211" s="53"/>
      <c r="J211" s="50"/>
      <c r="L211" s="3" t="str">
        <f t="shared" si="34"/>
        <v/>
      </c>
      <c r="M211" s="3" t="str">
        <f t="shared" si="35"/>
        <v/>
      </c>
      <c r="N211" s="40">
        <f t="shared" si="36"/>
        <v>0</v>
      </c>
      <c r="O211" s="24" t="str">
        <f t="shared" si="37"/>
        <v/>
      </c>
      <c r="Q211" s="31" t="str">
        <f t="shared" si="40"/>
        <v/>
      </c>
      <c r="R211" s="3" t="str">
        <f t="shared" si="41"/>
        <v/>
      </c>
      <c r="S211" s="3" t="str">
        <f t="shared" si="38"/>
        <v/>
      </c>
    </row>
    <row r="212" spans="1:19" x14ac:dyDescent="0.35">
      <c r="E212" s="3" t="str">
        <f t="shared" si="42"/>
        <v/>
      </c>
      <c r="H212" s="53"/>
      <c r="J212" s="50"/>
      <c r="L212" s="3" t="str">
        <f t="shared" si="34"/>
        <v/>
      </c>
      <c r="M212" s="3" t="str">
        <f t="shared" si="35"/>
        <v/>
      </c>
      <c r="N212" s="40">
        <f t="shared" si="36"/>
        <v>0</v>
      </c>
      <c r="O212" s="24" t="str">
        <f t="shared" si="37"/>
        <v/>
      </c>
      <c r="Q212" s="31" t="str">
        <f t="shared" si="40"/>
        <v/>
      </c>
      <c r="R212" s="3" t="str">
        <f t="shared" si="41"/>
        <v/>
      </c>
      <c r="S212" s="3" t="str">
        <f t="shared" si="38"/>
        <v/>
      </c>
    </row>
    <row r="213" spans="1:19" x14ac:dyDescent="0.35">
      <c r="E213" s="3" t="str">
        <f t="shared" si="42"/>
        <v/>
      </c>
      <c r="H213" s="53"/>
      <c r="J213" s="50"/>
      <c r="L213" s="3" t="str">
        <f t="shared" si="34"/>
        <v/>
      </c>
      <c r="M213" s="3" t="str">
        <f t="shared" si="35"/>
        <v/>
      </c>
      <c r="N213" s="40">
        <f t="shared" si="36"/>
        <v>0</v>
      </c>
      <c r="O213" s="24" t="str">
        <f t="shared" si="37"/>
        <v/>
      </c>
      <c r="Q213" s="31" t="str">
        <f t="shared" si="40"/>
        <v/>
      </c>
      <c r="R213" s="3" t="str">
        <f t="shared" si="41"/>
        <v/>
      </c>
      <c r="S213" s="3" t="str">
        <f t="shared" si="38"/>
        <v/>
      </c>
    </row>
    <row r="214" spans="1:19" x14ac:dyDescent="0.35">
      <c r="E214" s="3" t="str">
        <f t="shared" si="42"/>
        <v/>
      </c>
      <c r="H214" s="53"/>
      <c r="J214" s="50"/>
      <c r="L214" s="3" t="str">
        <f t="shared" si="34"/>
        <v/>
      </c>
      <c r="M214" s="3" t="str">
        <f t="shared" si="35"/>
        <v/>
      </c>
      <c r="N214" s="40">
        <f t="shared" si="36"/>
        <v>0</v>
      </c>
      <c r="O214" s="24" t="str">
        <f t="shared" si="37"/>
        <v/>
      </c>
      <c r="Q214" s="31" t="str">
        <f t="shared" si="40"/>
        <v/>
      </c>
      <c r="R214" s="3" t="str">
        <f t="shared" si="41"/>
        <v/>
      </c>
      <c r="S214" s="3" t="str">
        <f t="shared" si="38"/>
        <v/>
      </c>
    </row>
    <row r="215" spans="1:19" x14ac:dyDescent="0.35">
      <c r="E215" s="3" t="str">
        <f t="shared" si="42"/>
        <v/>
      </c>
      <c r="H215" s="53"/>
      <c r="J215" s="50"/>
      <c r="L215" s="3" t="str">
        <f t="shared" si="34"/>
        <v/>
      </c>
      <c r="M215" s="3" t="str">
        <f t="shared" si="35"/>
        <v/>
      </c>
      <c r="N215" s="40">
        <f t="shared" si="36"/>
        <v>0</v>
      </c>
      <c r="O215" s="24" t="str">
        <f t="shared" si="37"/>
        <v/>
      </c>
      <c r="Q215" s="31" t="str">
        <f t="shared" si="40"/>
        <v/>
      </c>
      <c r="R215" s="3" t="str">
        <f t="shared" si="41"/>
        <v/>
      </c>
      <c r="S215" s="3" t="str">
        <f t="shared" si="38"/>
        <v/>
      </c>
    </row>
    <row r="216" spans="1:19" x14ac:dyDescent="0.35">
      <c r="H216" s="53"/>
      <c r="J216" s="50"/>
      <c r="L216" s="3" t="str">
        <f t="shared" si="34"/>
        <v/>
      </c>
      <c r="M216" s="3" t="str">
        <f t="shared" si="35"/>
        <v/>
      </c>
      <c r="N216" s="40">
        <f t="shared" si="36"/>
        <v>0</v>
      </c>
      <c r="O216" s="24" t="str">
        <f t="shared" si="37"/>
        <v/>
      </c>
      <c r="Q216" s="31" t="str">
        <f t="shared" si="40"/>
        <v/>
      </c>
      <c r="R216" s="3" t="str">
        <f t="shared" si="41"/>
        <v/>
      </c>
      <c r="S216" s="3" t="str">
        <f t="shared" si="38"/>
        <v/>
      </c>
    </row>
    <row r="217" spans="1:19" x14ac:dyDescent="0.35">
      <c r="H217" s="53"/>
      <c r="J217" s="50"/>
      <c r="L217" s="3" t="str">
        <f t="shared" si="34"/>
        <v/>
      </c>
      <c r="M217" s="3" t="str">
        <f t="shared" si="35"/>
        <v/>
      </c>
      <c r="N217" s="40">
        <f t="shared" si="36"/>
        <v>0</v>
      </c>
      <c r="O217" s="24" t="str">
        <f t="shared" si="37"/>
        <v/>
      </c>
      <c r="Q217" s="31" t="str">
        <f t="shared" si="40"/>
        <v/>
      </c>
      <c r="R217" s="3" t="str">
        <f t="shared" si="41"/>
        <v/>
      </c>
      <c r="S217" s="3" t="str">
        <f t="shared" si="38"/>
        <v/>
      </c>
    </row>
    <row r="218" spans="1:19" x14ac:dyDescent="0.35">
      <c r="H218" s="53"/>
      <c r="J218" s="50"/>
      <c r="L218" s="3" t="str">
        <f t="shared" si="34"/>
        <v/>
      </c>
      <c r="M218" s="3" t="str">
        <f t="shared" si="35"/>
        <v/>
      </c>
      <c r="N218" s="40">
        <f t="shared" si="36"/>
        <v>0</v>
      </c>
      <c r="O218" s="24" t="str">
        <f t="shared" si="37"/>
        <v/>
      </c>
      <c r="Q218" s="31" t="str">
        <f t="shared" si="40"/>
        <v/>
      </c>
      <c r="R218" s="3" t="str">
        <f t="shared" si="41"/>
        <v/>
      </c>
      <c r="S218" s="3" t="str">
        <f t="shared" si="38"/>
        <v/>
      </c>
    </row>
    <row r="219" spans="1:19" x14ac:dyDescent="0.35">
      <c r="H219" s="53"/>
      <c r="J219" s="50"/>
      <c r="L219" s="3" t="str">
        <f t="shared" si="34"/>
        <v/>
      </c>
      <c r="M219" s="3" t="str">
        <f t="shared" si="35"/>
        <v/>
      </c>
      <c r="N219" s="40">
        <f t="shared" si="36"/>
        <v>0</v>
      </c>
      <c r="O219" s="24" t="str">
        <f t="shared" si="37"/>
        <v/>
      </c>
      <c r="Q219" s="31" t="str">
        <f t="shared" si="40"/>
        <v/>
      </c>
      <c r="R219" s="3" t="str">
        <f t="shared" si="41"/>
        <v/>
      </c>
      <c r="S219" s="3" t="str">
        <f t="shared" si="38"/>
        <v/>
      </c>
    </row>
    <row r="220" spans="1:19" x14ac:dyDescent="0.35">
      <c r="H220" s="53"/>
      <c r="J220" s="50"/>
      <c r="L220" s="3" t="str">
        <f t="shared" si="34"/>
        <v/>
      </c>
      <c r="M220" s="3" t="str">
        <f t="shared" si="35"/>
        <v/>
      </c>
      <c r="N220" s="40">
        <f t="shared" si="36"/>
        <v>0</v>
      </c>
      <c r="O220" s="24" t="str">
        <f t="shared" si="37"/>
        <v/>
      </c>
      <c r="Q220" s="31" t="str">
        <f t="shared" si="40"/>
        <v/>
      </c>
      <c r="R220" s="3" t="str">
        <f t="shared" si="41"/>
        <v/>
      </c>
      <c r="S220" s="3" t="str">
        <f t="shared" si="38"/>
        <v/>
      </c>
    </row>
    <row r="221" spans="1:19" x14ac:dyDescent="0.35">
      <c r="H221" s="53"/>
      <c r="J221" s="50"/>
      <c r="L221" s="3" t="str">
        <f t="shared" si="34"/>
        <v/>
      </c>
      <c r="M221" s="3" t="str">
        <f t="shared" si="35"/>
        <v/>
      </c>
      <c r="N221" s="40">
        <f t="shared" si="36"/>
        <v>0</v>
      </c>
      <c r="O221" s="24" t="str">
        <f t="shared" si="37"/>
        <v/>
      </c>
      <c r="Q221" s="31" t="str">
        <f t="shared" si="40"/>
        <v/>
      </c>
      <c r="R221" s="3" t="str">
        <f t="shared" si="41"/>
        <v/>
      </c>
      <c r="S221" s="3" t="str">
        <f t="shared" si="38"/>
        <v/>
      </c>
    </row>
    <row r="222" spans="1:19" x14ac:dyDescent="0.35">
      <c r="H222" s="53"/>
      <c r="J222" s="50"/>
      <c r="L222" s="3" t="str">
        <f t="shared" si="34"/>
        <v/>
      </c>
      <c r="M222" s="3" t="str">
        <f t="shared" si="35"/>
        <v/>
      </c>
      <c r="N222" s="40">
        <f t="shared" si="36"/>
        <v>0</v>
      </c>
      <c r="O222" s="24" t="str">
        <f t="shared" si="37"/>
        <v/>
      </c>
      <c r="Q222" s="31" t="str">
        <f t="shared" si="40"/>
        <v/>
      </c>
      <c r="R222" s="3" t="str">
        <f t="shared" si="41"/>
        <v/>
      </c>
      <c r="S222" s="3" t="str">
        <f t="shared" si="38"/>
        <v/>
      </c>
    </row>
    <row r="223" spans="1:19" x14ac:dyDescent="0.35">
      <c r="L223" s="3" t="str">
        <f t="shared" si="34"/>
        <v/>
      </c>
      <c r="M223" s="3" t="str">
        <f t="shared" si="35"/>
        <v/>
      </c>
      <c r="N223" s="40">
        <f t="shared" si="36"/>
        <v>0</v>
      </c>
      <c r="O223" s="24" t="str">
        <f t="shared" si="37"/>
        <v/>
      </c>
      <c r="Q223" s="31" t="str">
        <f t="shared" si="40"/>
        <v/>
      </c>
      <c r="R223" s="3" t="str">
        <f t="shared" si="41"/>
        <v/>
      </c>
      <c r="S223" s="3" t="str">
        <f t="shared" si="38"/>
        <v/>
      </c>
    </row>
    <row r="224" spans="1:19" x14ac:dyDescent="0.35">
      <c r="L224" s="3" t="str">
        <f t="shared" si="34"/>
        <v/>
      </c>
      <c r="M224" s="3" t="str">
        <f t="shared" si="35"/>
        <v/>
      </c>
      <c r="N224" s="40">
        <f t="shared" si="36"/>
        <v>0</v>
      </c>
      <c r="O224" s="24" t="str">
        <f t="shared" si="37"/>
        <v/>
      </c>
      <c r="Q224" s="31" t="str">
        <f t="shared" si="40"/>
        <v/>
      </c>
      <c r="R224" s="3" t="str">
        <f t="shared" si="41"/>
        <v/>
      </c>
      <c r="S224" s="3" t="str">
        <f t="shared" si="38"/>
        <v/>
      </c>
    </row>
    <row r="225" spans="12:19" x14ac:dyDescent="0.35">
      <c r="L225" s="3" t="str">
        <f t="shared" si="34"/>
        <v/>
      </c>
      <c r="M225" s="3" t="str">
        <f t="shared" si="35"/>
        <v/>
      </c>
      <c r="N225" s="40">
        <f t="shared" si="36"/>
        <v>0</v>
      </c>
      <c r="O225" s="24" t="str">
        <f t="shared" si="37"/>
        <v/>
      </c>
      <c r="Q225" s="31" t="str">
        <f t="shared" si="40"/>
        <v/>
      </c>
      <c r="R225" s="3" t="str">
        <f t="shared" si="41"/>
        <v/>
      </c>
      <c r="S225" s="3" t="str">
        <f t="shared" si="38"/>
        <v/>
      </c>
    </row>
    <row r="226" spans="12:19" x14ac:dyDescent="0.35">
      <c r="L226" s="3" t="str">
        <f t="shared" si="34"/>
        <v/>
      </c>
      <c r="M226" s="3" t="str">
        <f t="shared" si="35"/>
        <v/>
      </c>
      <c r="N226" s="40">
        <f t="shared" si="36"/>
        <v>0</v>
      </c>
      <c r="O226" s="24" t="str">
        <f t="shared" si="37"/>
        <v/>
      </c>
      <c r="Q226" s="31" t="str">
        <f t="shared" si="40"/>
        <v/>
      </c>
      <c r="R226" s="3" t="str">
        <f t="shared" si="41"/>
        <v/>
      </c>
      <c r="S226" s="3" t="str">
        <f t="shared" si="38"/>
        <v/>
      </c>
    </row>
    <row r="227" spans="12:19" x14ac:dyDescent="0.35">
      <c r="L227" s="3" t="str">
        <f t="shared" si="34"/>
        <v/>
      </c>
      <c r="M227" s="3" t="str">
        <f t="shared" si="35"/>
        <v/>
      </c>
      <c r="N227" s="40">
        <f t="shared" si="36"/>
        <v>0</v>
      </c>
      <c r="O227" s="24" t="str">
        <f t="shared" si="37"/>
        <v/>
      </c>
      <c r="Q227" s="31" t="str">
        <f t="shared" si="40"/>
        <v/>
      </c>
      <c r="R227" s="3" t="str">
        <f t="shared" si="41"/>
        <v/>
      </c>
      <c r="S227" s="3" t="str">
        <f t="shared" si="38"/>
        <v/>
      </c>
    </row>
    <row r="228" spans="12:19" x14ac:dyDescent="0.35">
      <c r="L228" s="3" t="str">
        <f t="shared" si="34"/>
        <v/>
      </c>
      <c r="M228" s="3" t="str">
        <f t="shared" ref="M228:M254" si="43">IF(H228&lt;&gt;0,H228*J228/1000,"")</f>
        <v/>
      </c>
      <c r="N228" s="40">
        <f t="shared" ref="N228:N259" si="44">_xlfn.NUMBERVALUE(IF(H228&lt;&gt;0,TEXT(1000*(M228-L228),"#,##,###"),""))</f>
        <v>0</v>
      </c>
      <c r="O228" s="24" t="str">
        <f t="shared" ref="O228:O259" si="45">IF(H228&lt;&gt;0, (N228/L228)/1000,"")</f>
        <v/>
      </c>
      <c r="Q228" s="31" t="str">
        <f t="shared" si="40"/>
        <v/>
      </c>
      <c r="R228" s="3" t="str">
        <f t="shared" si="41"/>
        <v/>
      </c>
      <c r="S228" s="3" t="str">
        <f t="shared" si="38"/>
        <v/>
      </c>
    </row>
    <row r="229" spans="12:19" x14ac:dyDescent="0.35">
      <c r="L229" s="3" t="str">
        <f t="shared" si="34"/>
        <v/>
      </c>
      <c r="M229" s="3" t="str">
        <f t="shared" si="43"/>
        <v/>
      </c>
      <c r="N229" s="40">
        <f t="shared" si="44"/>
        <v>0</v>
      </c>
      <c r="O229" s="24" t="str">
        <f t="shared" si="45"/>
        <v/>
      </c>
      <c r="Q229" s="31" t="str">
        <f t="shared" si="40"/>
        <v/>
      </c>
      <c r="R229" s="3" t="str">
        <f t="shared" si="41"/>
        <v/>
      </c>
      <c r="S229" s="3" t="str">
        <f t="shared" si="38"/>
        <v/>
      </c>
    </row>
    <row r="230" spans="12:19" x14ac:dyDescent="0.35">
      <c r="L230" s="3" t="str">
        <f t="shared" si="34"/>
        <v/>
      </c>
      <c r="M230" s="3" t="str">
        <f t="shared" si="43"/>
        <v/>
      </c>
      <c r="N230" s="40">
        <f t="shared" si="44"/>
        <v>0</v>
      </c>
      <c r="O230" s="24" t="str">
        <f t="shared" si="45"/>
        <v/>
      </c>
      <c r="Q230" s="31" t="str">
        <f t="shared" si="40"/>
        <v/>
      </c>
      <c r="R230" s="3" t="str">
        <f t="shared" si="41"/>
        <v/>
      </c>
      <c r="S230" s="3" t="str">
        <f t="shared" si="38"/>
        <v/>
      </c>
    </row>
    <row r="231" spans="12:19" x14ac:dyDescent="0.35">
      <c r="L231" s="3" t="str">
        <f t="shared" si="34"/>
        <v/>
      </c>
      <c r="M231" s="3" t="str">
        <f t="shared" si="43"/>
        <v/>
      </c>
      <c r="N231" s="40">
        <f t="shared" si="44"/>
        <v>0</v>
      </c>
      <c r="O231" s="24" t="str">
        <f t="shared" si="45"/>
        <v/>
      </c>
      <c r="Q231" s="31" t="str">
        <f t="shared" si="40"/>
        <v/>
      </c>
      <c r="R231" s="3" t="str">
        <f t="shared" si="41"/>
        <v/>
      </c>
      <c r="S231" s="3" t="str">
        <f t="shared" si="38"/>
        <v/>
      </c>
    </row>
    <row r="232" spans="12:19" x14ac:dyDescent="0.35">
      <c r="L232" s="3" t="str">
        <f t="shared" si="34"/>
        <v/>
      </c>
      <c r="M232" s="3" t="str">
        <f t="shared" si="43"/>
        <v/>
      </c>
      <c r="N232" s="40">
        <f t="shared" si="44"/>
        <v>0</v>
      </c>
      <c r="O232" s="24" t="str">
        <f t="shared" si="45"/>
        <v/>
      </c>
      <c r="Q232" s="31" t="str">
        <f t="shared" si="40"/>
        <v/>
      </c>
      <c r="R232" s="3" t="str">
        <f t="shared" si="41"/>
        <v/>
      </c>
      <c r="S232" s="3" t="str">
        <f t="shared" si="38"/>
        <v/>
      </c>
    </row>
    <row r="233" spans="12:19" x14ac:dyDescent="0.35">
      <c r="L233" s="3" t="str">
        <f t="shared" si="34"/>
        <v/>
      </c>
      <c r="M233" s="3" t="str">
        <f t="shared" si="43"/>
        <v/>
      </c>
      <c r="N233" s="40">
        <f t="shared" si="44"/>
        <v>0</v>
      </c>
      <c r="O233" s="24" t="str">
        <f t="shared" si="45"/>
        <v/>
      </c>
      <c r="Q233" s="31" t="str">
        <f t="shared" si="40"/>
        <v/>
      </c>
      <c r="R233" s="3" t="str">
        <f t="shared" si="41"/>
        <v/>
      </c>
      <c r="S233" s="3" t="str">
        <f t="shared" si="38"/>
        <v/>
      </c>
    </row>
    <row r="234" spans="12:19" x14ac:dyDescent="0.35">
      <c r="L234" s="3" t="str">
        <f t="shared" si="34"/>
        <v/>
      </c>
      <c r="M234" s="3" t="str">
        <f t="shared" si="43"/>
        <v/>
      </c>
      <c r="N234" s="40">
        <f t="shared" si="44"/>
        <v>0</v>
      </c>
      <c r="O234" s="24" t="str">
        <f t="shared" si="45"/>
        <v/>
      </c>
      <c r="Q234" s="31" t="str">
        <f t="shared" si="40"/>
        <v/>
      </c>
      <c r="R234" s="3" t="str">
        <f t="shared" si="41"/>
        <v/>
      </c>
      <c r="S234" s="3" t="str">
        <f t="shared" si="38"/>
        <v/>
      </c>
    </row>
    <row r="235" spans="12:19" x14ac:dyDescent="0.35">
      <c r="L235" s="3" t="str">
        <f t="shared" si="34"/>
        <v/>
      </c>
      <c r="M235" s="3" t="str">
        <f t="shared" si="43"/>
        <v/>
      </c>
      <c r="N235" s="40">
        <f t="shared" si="44"/>
        <v>0</v>
      </c>
      <c r="O235" s="24" t="str">
        <f t="shared" si="45"/>
        <v/>
      </c>
      <c r="Q235" s="31" t="str">
        <f t="shared" si="40"/>
        <v/>
      </c>
      <c r="R235" s="3" t="str">
        <f t="shared" si="41"/>
        <v/>
      </c>
      <c r="S235" s="3" t="str">
        <f t="shared" si="38"/>
        <v/>
      </c>
    </row>
    <row r="236" spans="12:19" x14ac:dyDescent="0.35">
      <c r="L236" s="3" t="str">
        <f t="shared" si="34"/>
        <v/>
      </c>
      <c r="M236" s="3" t="str">
        <f t="shared" si="43"/>
        <v/>
      </c>
      <c r="N236" s="40">
        <f t="shared" si="44"/>
        <v>0</v>
      </c>
      <c r="O236" s="24" t="str">
        <f t="shared" si="45"/>
        <v/>
      </c>
      <c r="Q236" s="31" t="str">
        <f t="shared" si="40"/>
        <v/>
      </c>
      <c r="R236" s="3" t="str">
        <f t="shared" si="41"/>
        <v/>
      </c>
      <c r="S236" s="3" t="str">
        <f t="shared" si="38"/>
        <v/>
      </c>
    </row>
    <row r="237" spans="12:19" x14ac:dyDescent="0.35">
      <c r="L237" s="3" t="str">
        <f t="shared" si="34"/>
        <v/>
      </c>
      <c r="M237" s="3" t="str">
        <f t="shared" si="43"/>
        <v/>
      </c>
      <c r="N237" s="40">
        <f t="shared" si="44"/>
        <v>0</v>
      </c>
      <c r="O237" s="24" t="str">
        <f t="shared" si="45"/>
        <v/>
      </c>
      <c r="Q237" s="31" t="str">
        <f t="shared" si="40"/>
        <v/>
      </c>
      <c r="R237" s="3" t="str">
        <f t="shared" si="41"/>
        <v/>
      </c>
      <c r="S237" s="3" t="str">
        <f t="shared" si="38"/>
        <v/>
      </c>
    </row>
    <row r="238" spans="12:19" x14ac:dyDescent="0.35">
      <c r="L238" s="3" t="str">
        <f t="shared" si="34"/>
        <v/>
      </c>
      <c r="M238" s="3" t="str">
        <f t="shared" si="43"/>
        <v/>
      </c>
      <c r="N238" s="40">
        <f t="shared" si="44"/>
        <v>0</v>
      </c>
      <c r="O238" s="24" t="str">
        <f t="shared" si="45"/>
        <v/>
      </c>
      <c r="Q238" s="31" t="str">
        <f t="shared" si="40"/>
        <v/>
      </c>
      <c r="R238" s="3" t="str">
        <f t="shared" si="41"/>
        <v/>
      </c>
      <c r="S238" s="3" t="str">
        <f t="shared" si="38"/>
        <v/>
      </c>
    </row>
    <row r="239" spans="12:19" x14ac:dyDescent="0.35">
      <c r="L239" s="3" t="str">
        <f t="shared" si="34"/>
        <v/>
      </c>
      <c r="M239" s="3" t="str">
        <f t="shared" si="43"/>
        <v/>
      </c>
      <c r="N239" s="40">
        <f t="shared" si="44"/>
        <v>0</v>
      </c>
      <c r="O239" s="24" t="str">
        <f t="shared" si="45"/>
        <v/>
      </c>
      <c r="Q239" s="31" t="str">
        <f t="shared" si="40"/>
        <v/>
      </c>
      <c r="R239" s="3" t="str">
        <f t="shared" si="41"/>
        <v/>
      </c>
      <c r="S239" s="3" t="str">
        <f t="shared" si="38"/>
        <v/>
      </c>
    </row>
    <row r="240" spans="12:19" x14ac:dyDescent="0.35">
      <c r="L240" s="3" t="str">
        <f t="shared" ref="L240:L254" si="46">IF(H240&lt;&gt;0,H240*I240/1000,"")</f>
        <v/>
      </c>
      <c r="M240" s="3" t="str">
        <f t="shared" si="43"/>
        <v/>
      </c>
      <c r="N240" s="40">
        <f t="shared" si="44"/>
        <v>0</v>
      </c>
      <c r="O240" s="24" t="str">
        <f t="shared" si="45"/>
        <v/>
      </c>
      <c r="Q240" s="31" t="str">
        <f t="shared" si="40"/>
        <v/>
      </c>
      <c r="R240" s="3" t="str">
        <f t="shared" si="41"/>
        <v/>
      </c>
      <c r="S240" s="3" t="str">
        <f t="shared" si="38"/>
        <v/>
      </c>
    </row>
    <row r="241" spans="12:19" x14ac:dyDescent="0.35">
      <c r="L241" s="3" t="str">
        <f t="shared" si="46"/>
        <v/>
      </c>
      <c r="M241" s="3" t="str">
        <f t="shared" si="43"/>
        <v/>
      </c>
      <c r="N241" s="40">
        <f t="shared" si="44"/>
        <v>0</v>
      </c>
      <c r="O241" s="24" t="str">
        <f t="shared" si="45"/>
        <v/>
      </c>
      <c r="Q241" s="31" t="str">
        <f t="shared" si="40"/>
        <v/>
      </c>
      <c r="R241" s="3" t="str">
        <f t="shared" si="41"/>
        <v/>
      </c>
      <c r="S241" s="3" t="str">
        <f t="shared" si="38"/>
        <v/>
      </c>
    </row>
    <row r="242" spans="12:19" x14ac:dyDescent="0.35">
      <c r="L242" s="3" t="str">
        <f t="shared" si="46"/>
        <v/>
      </c>
      <c r="M242" s="3" t="str">
        <f t="shared" si="43"/>
        <v/>
      </c>
      <c r="N242" s="40">
        <f t="shared" si="44"/>
        <v>0</v>
      </c>
      <c r="O242" s="24" t="str">
        <f t="shared" si="45"/>
        <v/>
      </c>
      <c r="Q242" s="31" t="str">
        <f t="shared" si="40"/>
        <v/>
      </c>
      <c r="R242" s="3" t="str">
        <f t="shared" si="41"/>
        <v/>
      </c>
      <c r="S242" s="3" t="str">
        <f t="shared" si="38"/>
        <v/>
      </c>
    </row>
    <row r="243" spans="12:19" x14ac:dyDescent="0.35">
      <c r="L243" s="3" t="str">
        <f t="shared" si="46"/>
        <v/>
      </c>
      <c r="M243" s="3" t="str">
        <f t="shared" si="43"/>
        <v/>
      </c>
      <c r="N243" s="40">
        <f t="shared" si="44"/>
        <v>0</v>
      </c>
      <c r="O243" s="24" t="str">
        <f t="shared" si="45"/>
        <v/>
      </c>
      <c r="Q243" s="31" t="str">
        <f t="shared" si="40"/>
        <v/>
      </c>
      <c r="R243" s="3" t="str">
        <f t="shared" si="41"/>
        <v/>
      </c>
      <c r="S243" s="3" t="str">
        <f t="shared" si="38"/>
        <v/>
      </c>
    </row>
    <row r="244" spans="12:19" x14ac:dyDescent="0.35">
      <c r="L244" s="3" t="str">
        <f t="shared" si="46"/>
        <v/>
      </c>
      <c r="M244" s="3" t="str">
        <f t="shared" si="43"/>
        <v/>
      </c>
      <c r="N244" s="40">
        <f t="shared" si="44"/>
        <v>0</v>
      </c>
      <c r="O244" s="24" t="str">
        <f t="shared" si="45"/>
        <v/>
      </c>
      <c r="Q244" s="31" t="str">
        <f t="shared" si="40"/>
        <v/>
      </c>
      <c r="R244" s="3" t="str">
        <f t="shared" si="41"/>
        <v/>
      </c>
      <c r="S244" s="3" t="str">
        <f t="shared" si="38"/>
        <v/>
      </c>
    </row>
    <row r="245" spans="12:19" x14ac:dyDescent="0.35">
      <c r="L245" s="3" t="str">
        <f t="shared" si="46"/>
        <v/>
      </c>
      <c r="M245" s="3" t="str">
        <f t="shared" si="43"/>
        <v/>
      </c>
      <c r="N245" s="40">
        <f t="shared" si="44"/>
        <v>0</v>
      </c>
      <c r="O245" s="24" t="str">
        <f t="shared" si="45"/>
        <v/>
      </c>
      <c r="Q245" s="31" t="str">
        <f t="shared" si="40"/>
        <v/>
      </c>
      <c r="R245" s="3" t="str">
        <f t="shared" si="41"/>
        <v/>
      </c>
      <c r="S245" s="3" t="str">
        <f t="shared" si="38"/>
        <v/>
      </c>
    </row>
    <row r="246" spans="12:19" x14ac:dyDescent="0.35">
      <c r="L246" s="3" t="str">
        <f t="shared" si="46"/>
        <v/>
      </c>
      <c r="M246" s="3" t="str">
        <f t="shared" si="43"/>
        <v/>
      </c>
      <c r="N246" s="40">
        <f t="shared" si="44"/>
        <v>0</v>
      </c>
      <c r="O246" s="24" t="str">
        <f t="shared" si="45"/>
        <v/>
      </c>
      <c r="Q246" s="31" t="str">
        <f t="shared" si="40"/>
        <v/>
      </c>
      <c r="R246" s="3" t="str">
        <f t="shared" si="41"/>
        <v/>
      </c>
      <c r="S246" s="3" t="str">
        <f t="shared" si="38"/>
        <v/>
      </c>
    </row>
    <row r="247" spans="12:19" x14ac:dyDescent="0.35">
      <c r="L247" s="3" t="str">
        <f t="shared" si="46"/>
        <v/>
      </c>
      <c r="M247" s="3" t="str">
        <f t="shared" si="43"/>
        <v/>
      </c>
      <c r="N247" s="40">
        <f t="shared" si="44"/>
        <v>0</v>
      </c>
      <c r="O247" s="24" t="str">
        <f t="shared" si="45"/>
        <v/>
      </c>
      <c r="Q247" s="31" t="str">
        <f t="shared" si="40"/>
        <v/>
      </c>
      <c r="R247" s="3" t="str">
        <f t="shared" si="41"/>
        <v/>
      </c>
      <c r="S247" s="3" t="str">
        <f t="shared" si="38"/>
        <v/>
      </c>
    </row>
    <row r="248" spans="12:19" x14ac:dyDescent="0.35">
      <c r="L248" s="3" t="str">
        <f t="shared" si="46"/>
        <v/>
      </c>
      <c r="M248" s="3" t="str">
        <f t="shared" si="43"/>
        <v/>
      </c>
      <c r="N248" s="40">
        <f t="shared" si="44"/>
        <v>0</v>
      </c>
      <c r="O248" s="24" t="str">
        <f t="shared" si="45"/>
        <v/>
      </c>
      <c r="Q248" s="31" t="str">
        <f t="shared" si="40"/>
        <v/>
      </c>
      <c r="R248" s="3" t="str">
        <f t="shared" si="41"/>
        <v/>
      </c>
      <c r="S248" s="3" t="str">
        <f t="shared" si="38"/>
        <v/>
      </c>
    </row>
    <row r="249" spans="12:19" x14ac:dyDescent="0.35">
      <c r="L249" s="3" t="str">
        <f t="shared" si="46"/>
        <v/>
      </c>
      <c r="M249" s="3" t="str">
        <f t="shared" si="43"/>
        <v/>
      </c>
      <c r="N249" s="40">
        <f t="shared" si="44"/>
        <v>0</v>
      </c>
      <c r="O249" s="24" t="str">
        <f t="shared" si="45"/>
        <v/>
      </c>
      <c r="Q249" s="31" t="str">
        <f t="shared" si="40"/>
        <v/>
      </c>
      <c r="R249" s="3" t="str">
        <f t="shared" si="41"/>
        <v/>
      </c>
      <c r="S249" s="3" t="str">
        <f t="shared" si="38"/>
        <v/>
      </c>
    </row>
    <row r="250" spans="12:19" x14ac:dyDescent="0.35">
      <c r="L250" s="3" t="str">
        <f t="shared" si="46"/>
        <v/>
      </c>
      <c r="M250" s="3" t="str">
        <f t="shared" si="43"/>
        <v/>
      </c>
      <c r="N250" s="40">
        <f t="shared" si="44"/>
        <v>0</v>
      </c>
      <c r="O250" s="24" t="str">
        <f t="shared" si="45"/>
        <v/>
      </c>
      <c r="Q250" s="31" t="str">
        <f t="shared" si="40"/>
        <v/>
      </c>
      <c r="R250" s="3" t="str">
        <f t="shared" si="41"/>
        <v/>
      </c>
      <c r="S250" s="3" t="str">
        <f t="shared" si="38"/>
        <v/>
      </c>
    </row>
    <row r="251" spans="12:19" x14ac:dyDescent="0.35">
      <c r="L251" s="3" t="str">
        <f t="shared" si="46"/>
        <v/>
      </c>
      <c r="M251" s="3" t="str">
        <f t="shared" si="43"/>
        <v/>
      </c>
      <c r="N251" s="40">
        <f t="shared" si="44"/>
        <v>0</v>
      </c>
      <c r="O251" s="24" t="str">
        <f t="shared" si="45"/>
        <v/>
      </c>
      <c r="Q251" s="31" t="str">
        <f t="shared" si="40"/>
        <v/>
      </c>
      <c r="R251" s="3" t="str">
        <f t="shared" si="41"/>
        <v/>
      </c>
      <c r="S251" s="3" t="str">
        <f>IF(ISBLANK(H251),"", CONCATENATE( "#ST",TEXT(B251, "ddmmyy"),C251))</f>
        <v/>
      </c>
    </row>
    <row r="252" spans="12:19" x14ac:dyDescent="0.35">
      <c r="L252" s="3" t="str">
        <f t="shared" si="46"/>
        <v/>
      </c>
      <c r="M252" s="3" t="str">
        <f t="shared" si="43"/>
        <v/>
      </c>
      <c r="N252" s="40">
        <f t="shared" si="44"/>
        <v>0</v>
      </c>
      <c r="O252" s="24" t="str">
        <f t="shared" si="45"/>
        <v/>
      </c>
      <c r="Q252" s="31" t="str">
        <f t="shared" si="40"/>
        <v/>
      </c>
      <c r="R252" s="3" t="str">
        <f t="shared" si="41"/>
        <v/>
      </c>
      <c r="S252" s="3" t="str">
        <f>IF(ISBLANK(H252),"", CONCATENATE( "#ST",TEXT(B252, "ddmmyy"),C252))</f>
        <v/>
      </c>
    </row>
    <row r="253" spans="12:19" x14ac:dyDescent="0.35">
      <c r="L253" s="3" t="str">
        <f t="shared" si="46"/>
        <v/>
      </c>
      <c r="M253" s="3" t="str">
        <f t="shared" si="43"/>
        <v/>
      </c>
      <c r="N253" s="40">
        <f t="shared" si="44"/>
        <v>0</v>
      </c>
      <c r="O253" s="24" t="str">
        <f t="shared" si="45"/>
        <v/>
      </c>
      <c r="Q253" s="31" t="str">
        <f t="shared" si="40"/>
        <v/>
      </c>
      <c r="R253" s="3" t="str">
        <f t="shared" si="41"/>
        <v/>
      </c>
    </row>
    <row r="254" spans="12:19" x14ac:dyDescent="0.35">
      <c r="L254" s="3" t="str">
        <f t="shared" si="46"/>
        <v/>
      </c>
      <c r="M254" s="3" t="str">
        <f t="shared" si="43"/>
        <v/>
      </c>
      <c r="N254" s="40">
        <f t="shared" si="44"/>
        <v>0</v>
      </c>
      <c r="O254" s="24" t="str">
        <f t="shared" si="45"/>
        <v/>
      </c>
      <c r="Q254" s="31" t="str">
        <f t="shared" si="40"/>
        <v/>
      </c>
      <c r="R254" s="3" t="str">
        <f t="shared" si="41"/>
        <v/>
      </c>
    </row>
  </sheetData>
  <autoFilter ref="A1:AB254" xr:uid="{89581348-ECA5-4A11-B99B-065BE69587AA}"/>
  <phoneticPr fontId="5" type="noConversion"/>
  <conditionalFormatting sqref="O4:O25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Shivansh</dc:creator>
  <cp:keywords/>
  <dc:description/>
  <cp:lastModifiedBy>Kiran Jagtap</cp:lastModifiedBy>
  <cp:revision/>
  <dcterms:created xsi:type="dcterms:W3CDTF">2022-10-31T09:19:42Z</dcterms:created>
  <dcterms:modified xsi:type="dcterms:W3CDTF">2026-03-20T10:19:27Z</dcterms:modified>
  <cp:category/>
  <cp:contentStatus/>
</cp:coreProperties>
</file>